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 Dashboard" sheetId="1" state="visible" r:id="rId1"/>
    <sheet name="Materials Estimate" sheetId="2" state="visible" r:id="rId2"/>
    <sheet name="Labor Estimate" sheetId="3" state="visible" r:id="rId3"/>
    <sheet name="Sub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0.0%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97D"/>
      <sz val="14"/>
    </font>
    <font>
      <name val="Calibri"/>
      <charset val="1"/>
      <family val="0"/>
      <i val="1"/>
      <color rgb="FF555555"/>
      <sz val="11"/>
    </font>
    <font>
      <name val="Calibri"/>
      <charset val="1"/>
      <family val="0"/>
      <b val="1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sz val="10"/>
    </font>
    <font>
      <name val="Calibri"/>
      <charset val="1"/>
      <family val="0"/>
      <i val="1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color rgb="FF000000"/>
      <sz val="11"/>
    </font>
    <font>
      <name val="Calibri"/>
      <charset val="1"/>
      <family val="0"/>
      <i val="1"/>
      <color rgb="FF888888"/>
      <sz val="11"/>
    </font>
    <font>
      <name val="Calibri"/>
      <charset val="1"/>
      <family val="0"/>
      <b val="1"/>
      <i val="1"/>
      <color rgb="FF888888"/>
      <sz val="9"/>
    </font>
    <font>
      <name val="Calibri"/>
      <charset val="1"/>
      <family val="0"/>
      <b val="1"/>
      <color rgb="FF1F497D"/>
      <sz val="12"/>
    </font>
    <font>
      <name val="Calibri"/>
      <charset val="1"/>
      <family val="2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497D"/>
        <bgColor rgb="FF355269"/>
      </patternFill>
    </fill>
    <fill>
      <patternFill patternType="solid">
        <fgColor rgb="FFDCE6F1"/>
        <bgColor rgb="FFE0E0E0"/>
      </patternFill>
    </fill>
    <fill>
      <patternFill patternType="solid">
        <fgColor rgb="FFF2F5F9"/>
        <bgColor rgb="FFFFFFFF"/>
      </patternFill>
    </fill>
    <fill>
      <patternFill patternType="solid">
        <fgColor rgb="FF355269"/>
        <bgColor rgb="FF1F497D"/>
      </patternFill>
    </fill>
    <fill>
      <patternFill patternType="solid">
        <fgColor rgb="FFFFF2CC"/>
        <bgColor rgb="FFF2F5F9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/>
      <bottom style="double"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7" fillId="2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right" vertical="bottom"/>
    </xf>
    <xf numFmtId="165" fontId="0" fillId="0" borderId="1" applyAlignment="1" pivotButton="0" quotePrefix="0" xfId="0">
      <alignment horizontal="right" vertical="bottom"/>
    </xf>
    <xf numFmtId="0" fontId="6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right" vertical="bottom"/>
    </xf>
    <xf numFmtId="165" fontId="6" fillId="3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right" vertical="bottom"/>
    </xf>
    <xf numFmtId="164" fontId="8" fillId="0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0" fontId="6" fillId="3" borderId="2" applyAlignment="1" pivotButton="0" quotePrefix="0" xfId="0">
      <alignment horizontal="general" vertical="bottom"/>
    </xf>
    <xf numFmtId="164" fontId="6" fillId="3" borderId="2" applyAlignment="1" pivotButton="0" quotePrefix="0" xfId="0">
      <alignment horizontal="right" vertical="bottom"/>
    </xf>
    <xf numFmtId="165" fontId="6" fillId="3" borderId="2" applyAlignment="1" pivotButton="0" quotePrefix="0" xfId="0">
      <alignment horizontal="right" vertical="bottom"/>
    </xf>
    <xf numFmtId="0" fontId="10" fillId="2" borderId="3" applyAlignment="1" pivotButton="0" quotePrefix="0" xfId="0">
      <alignment horizontal="left" vertical="center"/>
    </xf>
    <xf numFmtId="0" fontId="0" fillId="2" borderId="3" applyAlignment="1" pivotButton="0" quotePrefix="0" xfId="0">
      <alignment horizontal="general" vertical="bottom"/>
    </xf>
    <xf numFmtId="0" fontId="11" fillId="3" borderId="3" applyAlignment="1" pivotButton="0" quotePrefix="0" xfId="0">
      <alignment horizontal="left" vertical="center"/>
    </xf>
    <xf numFmtId="0" fontId="0" fillId="3" borderId="3" applyAlignment="1" pivotButton="0" quotePrefix="0" xfId="0">
      <alignment horizontal="general" vertical="bottom"/>
    </xf>
    <xf numFmtId="164" fontId="11" fillId="3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 vertical="center"/>
    </xf>
    <xf numFmtId="0" fontId="13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14" fillId="0" borderId="3" applyAlignment="1" pivotButton="0" quotePrefix="0" xfId="0">
      <alignment horizontal="left" vertical="center"/>
    </xf>
    <xf numFmtId="164" fontId="14" fillId="0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4" borderId="1" applyAlignment="1" applyProtection="1" pivotButton="0" quotePrefix="0" xfId="0">
      <alignment horizontal="general" vertical="bottom"/>
      <protection locked="0" hidden="0"/>
    </xf>
    <xf numFmtId="3" fontId="0" fillId="4" borderId="1" applyAlignment="1" applyProtection="1" pivotButton="0" quotePrefix="0" xfId="0">
      <alignment horizontal="right" vertical="bottom"/>
      <protection locked="0" hidden="0"/>
    </xf>
    <xf numFmtId="164" fontId="0" fillId="4" borderId="1" applyAlignment="1" applyProtection="1" pivotButton="0" quotePrefix="0" xfId="0">
      <alignment horizontal="right" vertical="bottom"/>
      <protection locked="0" hidden="0"/>
    </xf>
    <xf numFmtId="164" fontId="0" fillId="4" borderId="1" applyAlignment="1" pivotButton="0" quotePrefix="0" xfId="0">
      <alignment horizontal="right" vertical="bottom"/>
    </xf>
    <xf numFmtId="9" fontId="0" fillId="4" borderId="1" applyAlignment="1" pivotButton="0" quotePrefix="0" xfId="0">
      <alignment horizontal="general" vertical="bottom"/>
    </xf>
    <xf numFmtId="0" fontId="0" fillId="0" borderId="1" applyAlignment="1" applyProtection="1" pivotButton="0" quotePrefix="0" xfId="0">
      <alignment horizontal="general" vertical="bottom"/>
      <protection locked="0" hidden="0"/>
    </xf>
    <xf numFmtId="3" fontId="0" fillId="0" borderId="1" applyAlignment="1" applyProtection="1" pivotButton="0" quotePrefix="0" xfId="0">
      <alignment horizontal="right" vertical="bottom"/>
      <protection locked="0" hidden="0"/>
    </xf>
    <xf numFmtId="164" fontId="0" fillId="0" borderId="1" applyAlignment="1" applyProtection="1" pivotButton="0" quotePrefix="0" xfId="0">
      <alignment horizontal="right" vertical="bottom"/>
      <protection locked="0" hidden="0"/>
    </xf>
    <xf numFmtId="9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4" fontId="6" fillId="0" borderId="2" applyAlignment="1" pivotButton="0" quotePrefix="0" xfId="0">
      <alignment horizontal="general" vertical="bottom"/>
    </xf>
    <xf numFmtId="0" fontId="16" fillId="5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164" fontId="0" fillId="4" borderId="1" applyAlignment="1" pivotButton="0" quotePrefix="0" xfId="0">
      <alignment horizontal="right" vertical="bottom"/>
    </xf>
    <xf numFmtId="0" fontId="0" fillId="0" borderId="1" applyAlignment="1" applyProtection="1" pivotButton="0" quotePrefix="0" xfId="0">
      <alignment horizontal="general" vertical="bottom"/>
      <protection locked="0" hidden="0"/>
    </xf>
    <xf numFmtId="0" fontId="6" fillId="6" borderId="1" applyAlignment="1" pivotButton="0" quotePrefix="0" xfId="0">
      <alignment horizontal="general" vertical="bottom"/>
    </xf>
    <xf numFmtId="3" fontId="0" fillId="6" borderId="1" applyAlignment="1" applyProtection="1" pivotButton="0" quotePrefix="0" xfId="0">
      <alignment horizontal="right" vertical="bottom"/>
      <protection locked="0" hidden="0"/>
    </xf>
    <xf numFmtId="164" fontId="0" fillId="6" borderId="1" applyAlignment="1" pivotButton="0" quotePrefix="0" xfId="0">
      <alignment horizontal="right" vertical="bottom"/>
    </xf>
    <xf numFmtId="0" fontId="6" fillId="6" borderId="1" applyAlignment="1" applyProtection="1" pivotButton="0" quotePrefix="0" xfId="0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 wrapText="1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7" fillId="2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right" vertical="bottom"/>
    </xf>
    <xf numFmtId="165" fontId="0" fillId="0" borderId="1" applyAlignment="1" pivotButton="0" quotePrefix="0" xfId="0">
      <alignment horizontal="right" vertical="bottom"/>
    </xf>
    <xf numFmtId="0" fontId="6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right" vertical="bottom"/>
    </xf>
    <xf numFmtId="165" fontId="6" fillId="3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right" vertical="bottom"/>
    </xf>
    <xf numFmtId="164" fontId="8" fillId="0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0" fontId="6" fillId="3" borderId="2" applyAlignment="1" pivotButton="0" quotePrefix="0" xfId="0">
      <alignment horizontal="general" vertical="bottom"/>
    </xf>
    <xf numFmtId="164" fontId="6" fillId="3" borderId="2" applyAlignment="1" pivotButton="0" quotePrefix="0" xfId="0">
      <alignment horizontal="right" vertical="bottom"/>
    </xf>
    <xf numFmtId="165" fontId="6" fillId="3" borderId="2" applyAlignment="1" pivotButton="0" quotePrefix="0" xfId="0">
      <alignment horizontal="right" vertical="bottom"/>
    </xf>
    <xf numFmtId="0" fontId="10" fillId="2" borderId="3" applyAlignment="1" pivotButton="0" quotePrefix="0" xfId="0">
      <alignment horizontal="left" vertical="center"/>
    </xf>
    <xf numFmtId="0" fontId="0" fillId="2" borderId="3" applyAlignment="1" pivotButton="0" quotePrefix="0" xfId="0">
      <alignment horizontal="general" vertical="bottom"/>
    </xf>
    <xf numFmtId="0" fontId="11" fillId="3" borderId="3" applyAlignment="1" pivotButton="0" quotePrefix="0" xfId="0">
      <alignment horizontal="left" vertical="center"/>
    </xf>
    <xf numFmtId="0" fontId="0" fillId="3" borderId="3" applyAlignment="1" pivotButton="0" quotePrefix="0" xfId="0">
      <alignment horizontal="general" vertical="bottom"/>
    </xf>
    <xf numFmtId="164" fontId="11" fillId="3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 vertical="center"/>
    </xf>
    <xf numFmtId="0" fontId="13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14" fillId="0" borderId="3" applyAlignment="1" pivotButton="0" quotePrefix="0" xfId="0">
      <alignment horizontal="left" vertical="center"/>
    </xf>
    <xf numFmtId="164" fontId="14" fillId="0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0" fillId="4" borderId="1" applyAlignment="1" applyProtection="1" pivotButton="0" quotePrefix="0" xfId="0">
      <alignment horizontal="general" vertical="bottom"/>
      <protection locked="0" hidden="0"/>
    </xf>
    <xf numFmtId="3" fontId="0" fillId="4" borderId="1" applyAlignment="1" applyProtection="1" pivotButton="0" quotePrefix="0" xfId="0">
      <alignment horizontal="right" vertical="bottom"/>
      <protection locked="0" hidden="0"/>
    </xf>
    <xf numFmtId="164" fontId="0" fillId="4" borderId="1" applyAlignment="1" applyProtection="1" pivotButton="0" quotePrefix="0" xfId="0">
      <alignment horizontal="right" vertical="bottom"/>
      <protection locked="0" hidden="0"/>
    </xf>
    <xf numFmtId="164" fontId="0" fillId="4" borderId="1" applyAlignment="1" pivotButton="0" quotePrefix="0" xfId="0">
      <alignment horizontal="right" vertical="bottom"/>
    </xf>
    <xf numFmtId="9" fontId="0" fillId="4" borderId="1" applyAlignment="1" pivotButton="0" quotePrefix="0" xfId="0">
      <alignment horizontal="general" vertical="bottom"/>
    </xf>
    <xf numFmtId="0" fontId="0" fillId="0" borderId="1" applyAlignment="1" applyProtection="1" pivotButton="0" quotePrefix="0" xfId="0">
      <alignment horizontal="general" vertical="bottom"/>
      <protection locked="0" hidden="0"/>
    </xf>
    <xf numFmtId="3" fontId="0" fillId="0" borderId="1" applyAlignment="1" applyProtection="1" pivotButton="0" quotePrefix="0" xfId="0">
      <alignment horizontal="right" vertical="bottom"/>
      <protection locked="0" hidden="0"/>
    </xf>
    <xf numFmtId="164" fontId="0" fillId="0" borderId="1" applyAlignment="1" applyProtection="1" pivotButton="0" quotePrefix="0" xfId="0">
      <alignment horizontal="right" vertical="bottom"/>
      <protection locked="0" hidden="0"/>
    </xf>
    <xf numFmtId="9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4" fontId="6" fillId="0" borderId="2" applyAlignment="1" pivotButton="0" quotePrefix="0" xfId="0">
      <alignment horizontal="general" vertical="bottom"/>
    </xf>
    <xf numFmtId="0" fontId="16" fillId="5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3" fontId="0" fillId="6" borderId="1" applyAlignment="1" applyProtection="1" pivotButton="0" quotePrefix="0" xfId="0">
      <alignment horizontal="right" vertical="bottom"/>
      <protection locked="0" hidden="0"/>
    </xf>
    <xf numFmtId="164" fontId="0" fillId="6" borderId="1" applyAlignment="1" pivotButton="0" quotePrefix="0" xfId="0">
      <alignment horizontal="right" vertical="bottom"/>
    </xf>
    <xf numFmtId="0" fontId="6" fillId="6" borderId="1" applyAlignment="1" applyProtection="1" pivotButton="0" quotePrefix="0" xfId="0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 wrapText="1"/>
    </xf>
    <xf numFmtId="1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DCE6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9"/>
      <rgbColor rgb="FFE0E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5526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2:E23"/>
  <sheetViews>
    <sheetView showFormulas="0" showGridLines="1" showRowColHeaders="1" showZeros="1" rightToLeft="0" tabSelected="1" showOutlineSymbols="1" defaultGridColor="1" view="normal" topLeftCell="A1" colorId="64" zoomScale="160" zoomScaleNormal="160" zoomScalePageLayoutView="100" workbookViewId="0">
      <selection pane="topLeft" activeCell="G6" activeCellId="0" sqref="G6"/>
    </sheetView>
  </sheetViews>
  <sheetFormatPr baseColWidth="8" defaultColWidth="8.453125" defaultRowHeight="15" customHeight="0" zeroHeight="0" outlineLevelRow="0"/>
  <cols>
    <col width="34" customWidth="1" style="58" min="1" max="1"/>
    <col width="13" customWidth="1" style="58" min="2" max="5"/>
    <col width="8.449999999999999" customWidth="1" style="58" min="6" max="16384"/>
  </cols>
  <sheetData>
    <row r="2" ht="17.35" customHeight="1" s="59">
      <c r="A2" s="60" t="inlineStr">
        <is>
          <t>July's Quality Construction</t>
        </is>
      </c>
    </row>
    <row r="3" ht="15" customHeight="1" s="59">
      <c r="A3" s="61" t="inlineStr">
        <is>
          <t>Master Project Estimate &amp; Profit Analysis Template</t>
        </is>
      </c>
    </row>
    <row r="5" ht="15" customHeight="1" s="59">
      <c r="A5" s="62" t="inlineStr">
        <is>
          <t>Job Name:</t>
        </is>
      </c>
      <c r="D5" s="62" t="inlineStr">
        <is>
          <t>Date:</t>
        </is>
      </c>
    </row>
    <row r="6">
      <c r="A6" s="62" t="inlineStr">
        <is>
          <t>Customer Name:</t>
        </is>
      </c>
      <c r="D6" s="62" t="n"/>
    </row>
    <row r="7" ht="15" customHeight="1" s="59">
      <c r="A7" s="62" t="inlineStr">
        <is>
          <t>Customer Address:</t>
        </is>
      </c>
      <c r="D7" s="62" t="n"/>
    </row>
    <row r="8" ht="15" customHeight="1" s="59">
      <c r="A8" s="62" t="inlineStr">
        <is>
          <t>Customer Phone:</t>
        </is>
      </c>
      <c r="D8" s="62" t="n"/>
    </row>
    <row r="9" ht="15" customHeight="1" s="59"/>
    <row r="10" ht="15" customHeight="1" s="59">
      <c r="A10" s="63" t="inlineStr">
        <is>
          <t>Category</t>
        </is>
      </c>
      <c r="B10" s="64" t="inlineStr">
        <is>
          <t>Internal Cost (Us)</t>
        </is>
      </c>
      <c r="C10" s="64" t="inlineStr">
        <is>
          <t>Retail Price (Customer)</t>
        </is>
      </c>
      <c r="D10" s="64" t="inlineStr">
        <is>
          <t>Profit Difference</t>
        </is>
      </c>
      <c r="E10" s="64" t="inlineStr">
        <is>
          <t>Margin %</t>
        </is>
      </c>
    </row>
    <row r="11" ht="15" customHeight="1" s="59">
      <c r="A11" s="65" t="inlineStr">
        <is>
          <t>Materials &amp; Fees Total (Incl. Tax)</t>
        </is>
      </c>
      <c r="B11" s="66">
        <f>'Materials Estimate'!D31</f>
        <v/>
      </c>
      <c r="C11" s="66">
        <f>'Materials Estimate'!F31</f>
        <v/>
      </c>
      <c r="D11" s="66">
        <f>C11-B11</f>
        <v/>
      </c>
      <c r="E11" s="67">
        <f>IF(C11&gt;0, D11/C11, 0)</f>
        <v/>
      </c>
    </row>
    <row r="12" ht="15" customHeight="1" s="59">
      <c r="A12" s="65" t="inlineStr">
        <is>
          <t>Labor Total (Standard Baseline)</t>
        </is>
      </c>
      <c r="B12" s="66">
        <f>'Labor Estimate'!D51</f>
        <v/>
      </c>
      <c r="C12" s="66">
        <f>'Labor Estimate'!F51</f>
        <v/>
      </c>
      <c r="D12" s="66">
        <f>C12-B12</f>
        <v/>
      </c>
      <c r="E12" s="67">
        <f>IF(C12&gt;0, D12/C12, 0)</f>
        <v/>
      </c>
    </row>
    <row r="13" ht="15" customHeight="1" s="59">
      <c r="A13" s="65" t="inlineStr">
        <is>
          <t>Subcontractor Total</t>
        </is>
      </c>
      <c r="B13" s="66">
        <f>Subs!D25</f>
        <v/>
      </c>
      <c r="C13" s="66">
        <f>Subs!F25</f>
        <v/>
      </c>
      <c r="D13" s="66">
        <f>C13-B13</f>
        <v/>
      </c>
      <c r="E13" s="67">
        <f>IF(C13&gt;0, D13/C13, 0)</f>
        <v/>
      </c>
    </row>
    <row r="14">
      <c r="A14" s="68" t="inlineStr">
        <is>
          <t>SUBTOTALS</t>
        </is>
      </c>
      <c r="B14" s="69">
        <f>B11+B12+B13</f>
        <v/>
      </c>
      <c r="C14" s="69">
        <f>C11+C12+C13</f>
        <v/>
      </c>
      <c r="D14" s="69">
        <f>C14-B14</f>
        <v/>
      </c>
      <c r="E14" s="70">
        <f>IF(C14&gt;0, D14/C14, 0)</f>
        <v/>
      </c>
    </row>
    <row r="15" ht="15" customHeight="1" s="59">
      <c r="A15" s="71" t="inlineStr">
        <is>
          <t>Sales Commission (6%)</t>
        </is>
      </c>
      <c r="B15" s="66" t="n">
        <v>0</v>
      </c>
      <c r="C15" s="72">
        <f>C14*0.06</f>
        <v/>
      </c>
      <c r="D15" s="73">
        <f>C15-B15</f>
        <v/>
      </c>
      <c r="E15" s="74" t="inlineStr">
        <is>
          <t>0.0%</t>
        </is>
      </c>
    </row>
    <row r="16" ht="15" customHeight="1" s="59">
      <c r="A16" s="75" t="inlineStr">
        <is>
          <t>GRAND TOTALS</t>
        </is>
      </c>
      <c r="B16" s="76">
        <f>B14+B15</f>
        <v/>
      </c>
      <c r="C16" s="76">
        <f>C14+C15</f>
        <v/>
      </c>
      <c r="D16" s="76">
        <f>C16-B16</f>
        <v/>
      </c>
      <c r="E16" s="77">
        <f>IF(C16&gt;0, D16/C16, 0)</f>
        <v/>
      </c>
    </row>
    <row r="17" ht="15" customHeight="1" s="59"/>
    <row r="18" ht="15" customHeight="1" s="59">
      <c r="A18" s="78" t="inlineStr">
        <is>
          <t>PAYMENT SCHEDULE</t>
        </is>
      </c>
      <c r="B18" s="79" t="n"/>
      <c r="C18" s="79" t="n"/>
      <c r="D18" s="79" t="n"/>
      <c r="E18" s="79" t="n"/>
    </row>
    <row r="19" ht="15" customHeight="1" s="59">
      <c r="A19" s="80" t="inlineStr">
        <is>
          <t>Total Contract Amount</t>
        </is>
      </c>
      <c r="B19" s="81" t="n"/>
      <c r="C19" s="82">
        <f>C16</f>
        <v/>
      </c>
      <c r="D19" s="81" t="n"/>
      <c r="E19" s="81" t="n"/>
    </row>
    <row r="20" ht="15" customHeight="1" s="59">
      <c r="A20" s="83" t="inlineStr">
        <is>
          <t>Due at Signing (1/2 Down)</t>
        </is>
      </c>
      <c r="B20" s="84" t="inlineStr">
        <is>
          <t>50%</t>
        </is>
      </c>
      <c r="C20" s="85">
        <f>C19*0.5</f>
        <v/>
      </c>
      <c r="D20" s="86" t="n"/>
      <c r="E20" s="86" t="n"/>
    </row>
    <row r="21">
      <c r="A21" s="83" t="inlineStr">
        <is>
          <t>Due at Start of Job (1/4)</t>
        </is>
      </c>
      <c r="B21" s="84" t="inlineStr">
        <is>
          <t>25%</t>
        </is>
      </c>
      <c r="C21" s="85">
        <f>C19*0.25</f>
        <v/>
      </c>
      <c r="D21" s="86" t="n"/>
      <c r="E21" s="86" t="n"/>
    </row>
    <row r="22">
      <c r="A22" s="83" t="inlineStr">
        <is>
          <t>Due Upon Completion (1/4)</t>
        </is>
      </c>
      <c r="B22" s="84" t="inlineStr">
        <is>
          <t>25%</t>
        </is>
      </c>
      <c r="C22" s="85">
        <f>C19*0.25</f>
        <v/>
      </c>
      <c r="D22" s="86" t="n"/>
      <c r="E22" s="86" t="n"/>
    </row>
    <row r="23">
      <c r="A23" s="87" t="inlineStr">
        <is>
          <t>Payment Total (Verify)</t>
        </is>
      </c>
      <c r="B23" s="86" t="n"/>
      <c r="C23" s="88">
        <f>C20+C21+C22</f>
        <v/>
      </c>
      <c r="D23" s="86" t="n"/>
      <c r="E23" s="8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aa8c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2:G46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2" activeCellId="0" sqref="A12"/>
    </sheetView>
  </sheetViews>
  <sheetFormatPr baseColWidth="8" defaultColWidth="8.453125" defaultRowHeight="15" customHeight="0" zeroHeight="0" outlineLevelRow="0"/>
  <cols>
    <col width="34" customWidth="1" style="58" min="1" max="1"/>
    <col width="13" customWidth="1" style="58" min="2" max="6"/>
    <col width="12.28" customWidth="1" style="58" min="7" max="7"/>
    <col width="8.449999999999999" customWidth="1" style="58" min="8" max="16384"/>
  </cols>
  <sheetData>
    <row r="2" ht="15" customHeight="1" s="59">
      <c r="A2" s="89" t="inlineStr">
        <is>
          <t>Materials Cost Breakdown &amp; Markup Template</t>
        </is>
      </c>
      <c r="E2" s="58" t="inlineStr">
        <is>
          <t>Tax Rate:</t>
        </is>
      </c>
      <c r="F2" s="90" t="n">
        <v>0.06</v>
      </c>
    </row>
    <row r="3" ht="15" customHeight="1" s="59">
      <c r="A3" s="58" t="inlineStr">
        <is>
          <t>Material Item</t>
        </is>
      </c>
      <c r="B3" s="58" t="inlineStr">
        <is>
          <t>Qty</t>
        </is>
      </c>
      <c r="C3" s="58" t="inlineStr">
        <is>
          <t>Unit Cost</t>
        </is>
      </c>
      <c r="D3" s="58" t="inlineStr">
        <is>
          <t>Our Cost (+6% Tax)</t>
        </is>
      </c>
      <c r="E3" s="58" t="inlineStr">
        <is>
          <t>Markup % / Fixed</t>
        </is>
      </c>
      <c r="F3" s="58" t="inlineStr">
        <is>
          <t>Customer Price</t>
        </is>
      </c>
    </row>
    <row r="4" ht="15" customHeight="1" s="59">
      <c r="A4" s="63" t="n"/>
      <c r="B4" s="64" t="n"/>
      <c r="C4" s="64" t="n"/>
      <c r="D4" s="64" t="n"/>
      <c r="E4" s="64" t="n"/>
      <c r="F4" s="64" t="n"/>
    </row>
    <row r="5" ht="15" customHeight="1" s="59">
      <c r="A5" s="91" t="n"/>
      <c r="B5" s="92" t="n"/>
      <c r="C5" s="93" t="n"/>
      <c r="D5" s="94">
        <f>IF(COUNTA(B5:C5)=2, (B5*C5)*(1+$F$2), 0)</f>
        <v/>
      </c>
      <c r="E5" s="95" t="n">
        <v>0.25</v>
      </c>
      <c r="F5" s="94">
        <f>IF(D5&gt;0, D5*(1+E5), 0)</f>
        <v/>
      </c>
    </row>
    <row r="6" ht="15" customHeight="1" s="59">
      <c r="A6" s="96" t="n"/>
      <c r="B6" s="97" t="n"/>
      <c r="C6" s="98" t="n"/>
      <c r="D6" s="66">
        <f>IF(COUNTA(B6:C6)=2, (B6*C6)*(1+$F$2), 0)</f>
        <v/>
      </c>
      <c r="E6" s="99" t="n">
        <v>0.25</v>
      </c>
      <c r="F6" s="66">
        <f>IF(D6&gt;0, D6*(1+E6), 0)</f>
        <v/>
      </c>
    </row>
    <row r="7" ht="15" customHeight="1" s="59">
      <c r="A7" s="91" t="n"/>
      <c r="B7" s="92" t="n"/>
      <c r="C7" s="93" t="n"/>
      <c r="D7" s="94">
        <f>IF(COUNTA(B7:C7)=2, (B7*C7)*(1+$F$2), 0)</f>
        <v/>
      </c>
      <c r="E7" s="95" t="n">
        <v>0.25</v>
      </c>
      <c r="F7" s="94">
        <f>IF(D7&gt;0, D7*(1+E7), 0)</f>
        <v/>
      </c>
    </row>
    <row r="8" ht="15" customHeight="1" s="59">
      <c r="A8" s="96" t="n"/>
      <c r="B8" s="97" t="n"/>
      <c r="C8" s="98" t="n"/>
      <c r="D8" s="66">
        <f>IF(COUNTA(B8:C8)=2, (B8*C8)*(1+$F$2), 0)</f>
        <v/>
      </c>
      <c r="E8" s="99" t="n">
        <v>0.25</v>
      </c>
      <c r="F8" s="66">
        <f>IF(D8&gt;0, D8*(1+E8), 0)</f>
        <v/>
      </c>
    </row>
    <row r="9" ht="15" customHeight="1" s="59">
      <c r="A9" s="91" t="n"/>
      <c r="B9" s="92" t="n"/>
      <c r="C9" s="93" t="n"/>
      <c r="D9" s="94">
        <f>IF(COUNTA(B9:C9)=2, (B9*C9)*(1+$F$2), 0)</f>
        <v/>
      </c>
      <c r="E9" s="95" t="n">
        <v>0.25</v>
      </c>
      <c r="F9" s="94">
        <f>IF(D9&gt;0, D9*(1+E9), 0)</f>
        <v/>
      </c>
    </row>
    <row r="10" ht="15" customHeight="1" s="59">
      <c r="A10" s="96" t="n"/>
      <c r="B10" s="97" t="n"/>
      <c r="C10" s="98" t="n"/>
      <c r="D10" s="66">
        <f>IF(COUNTA(B10:C10)=2, (B10*C10)*(1+$F$2), 0)</f>
        <v/>
      </c>
      <c r="E10" s="99" t="n">
        <v>0.25</v>
      </c>
      <c r="F10" s="66">
        <f>IF(D10&gt;0, D10*(1+E10), 0)</f>
        <v/>
      </c>
    </row>
    <row r="11" ht="15" customHeight="1" s="59">
      <c r="A11" s="91" t="n"/>
      <c r="B11" s="92" t="n"/>
      <c r="C11" s="93" t="n"/>
      <c r="D11" s="94">
        <f>IF(COUNTA(B11:C11)=2, (B11*C11)*(1+$F$2), 0)</f>
        <v/>
      </c>
      <c r="E11" s="95" t="n">
        <v>0.25</v>
      </c>
      <c r="F11" s="94">
        <f>IF(D11&gt;0, D11*(1+E11), 0)</f>
        <v/>
      </c>
    </row>
    <row r="12" ht="15" customHeight="1" s="59">
      <c r="A12" s="96" t="n"/>
      <c r="B12" s="97" t="n"/>
      <c r="C12" s="98" t="n"/>
      <c r="D12" s="66">
        <f>IF(COUNTA(B12:C12)=2, (B12*C12)*(1+$F$2), 0)</f>
        <v/>
      </c>
      <c r="E12" s="99" t="n">
        <v>0.25</v>
      </c>
      <c r="F12" s="66">
        <f>IF(D12&gt;0, D12*(1+E12), 0)</f>
        <v/>
      </c>
    </row>
    <row r="13" ht="15" customHeight="1" s="59">
      <c r="A13" s="91" t="n"/>
      <c r="B13" s="92" t="n"/>
      <c r="C13" s="93" t="n"/>
      <c r="D13" s="94">
        <f>IF(COUNTA(B13:C13)=2, (B13*C13)*(1+$F$2), 0)</f>
        <v/>
      </c>
      <c r="E13" s="95" t="n">
        <v>0.25</v>
      </c>
      <c r="F13" s="94">
        <f>IF(D13&gt;0, D13*(1+E13), 0)</f>
        <v/>
      </c>
    </row>
    <row r="14" ht="15" customHeight="1" s="59">
      <c r="A14" s="96" t="n"/>
      <c r="B14" s="97" t="n"/>
      <c r="C14" s="98" t="n"/>
      <c r="D14" s="66">
        <f>IF(COUNTA(B14:C14)=2, (B14*C14)*(1+$F$2), 0)</f>
        <v/>
      </c>
      <c r="E14" s="99" t="n">
        <v>0.25</v>
      </c>
      <c r="F14" s="66">
        <f>IF(D14&gt;0, D14*(1+E14), 0)</f>
        <v/>
      </c>
    </row>
    <row r="15" ht="15" customHeight="1" s="59">
      <c r="A15" s="96" t="n"/>
      <c r="B15" s="97" t="n"/>
      <c r="C15" s="98" t="n"/>
      <c r="D15" s="94">
        <f>IF(COUNTA(B15:C15)=2, (B15*C15)*(1+$F$2), 0)</f>
        <v/>
      </c>
      <c r="E15" s="95" t="n">
        <v>0.25</v>
      </c>
      <c r="F15" s="94">
        <f>IF(D15&gt;0, D15*(1+E15), 0)</f>
        <v/>
      </c>
    </row>
    <row r="16" ht="15" customHeight="1" s="59">
      <c r="A16" s="96" t="n"/>
      <c r="B16" s="97" t="n"/>
      <c r="C16" s="98" t="n"/>
      <c r="D16" s="94">
        <f>IF(COUNTA(B16:C16)=2, (B16*C16)*(1+$F$2), 0)</f>
        <v/>
      </c>
      <c r="E16" s="95" t="n">
        <v>0.25</v>
      </c>
      <c r="F16" s="94">
        <f>IF(D16&gt;0, D16*(1+E16), 0)</f>
        <v/>
      </c>
    </row>
    <row r="17" ht="15" customHeight="1" s="59">
      <c r="A17" s="96" t="n"/>
      <c r="B17" s="97" t="n"/>
      <c r="C17" s="98" t="n"/>
      <c r="D17" s="94">
        <f>IF(COUNTA(B17:C17)=2, (B17*C17)*(1+$F$2), 0)</f>
        <v/>
      </c>
      <c r="E17" s="95" t="n">
        <v>0.25</v>
      </c>
      <c r="F17" s="94">
        <f>IF(D17&gt;0, D17*(1+E17), 0)</f>
        <v/>
      </c>
    </row>
    <row r="18" ht="15" customHeight="1" s="59">
      <c r="A18" s="96" t="n"/>
      <c r="B18" s="97" t="n"/>
      <c r="C18" s="98" t="n"/>
      <c r="D18" s="94">
        <f>IF(COUNTA(B18:C18)=2, (B18*C18)*(1+$F$2), 0)</f>
        <v/>
      </c>
      <c r="E18" s="95" t="n">
        <v>0.25</v>
      </c>
      <c r="F18" s="94">
        <f>IF(D18&gt;0, D18*(1+E18), 0)</f>
        <v/>
      </c>
    </row>
    <row r="19" ht="15" customHeight="1" s="59">
      <c r="A19" s="96" t="n"/>
      <c r="B19" s="97" t="n"/>
      <c r="C19" s="98" t="n"/>
      <c r="D19" s="94">
        <f>IF(COUNTA(B19:C19)=2, (B19*C19)*(1+$F$2), 0)</f>
        <v/>
      </c>
      <c r="E19" s="95" t="n">
        <v>0.25</v>
      </c>
      <c r="F19" s="94">
        <f>IF(D19&gt;0, D19*(1+E19), 0)</f>
        <v/>
      </c>
    </row>
    <row r="20" ht="15" customHeight="1" s="59">
      <c r="A20" s="96" t="n"/>
      <c r="B20" s="97" t="n"/>
      <c r="C20" s="98" t="n"/>
      <c r="D20" s="94">
        <f>IF(COUNTA(B20:C20)=2, (B20*C20)*(1+$F$2), 0)</f>
        <v/>
      </c>
      <c r="E20" s="95" t="n">
        <v>0.25</v>
      </c>
      <c r="F20" s="94">
        <f>IF(D20&gt;0, D20*(1+E20), 0)</f>
        <v/>
      </c>
    </row>
    <row r="21" ht="15" customHeight="1" s="59">
      <c r="A21" s="96" t="n"/>
      <c r="B21" s="97" t="n"/>
      <c r="C21" s="98" t="n"/>
      <c r="D21" s="94">
        <f>IF(COUNTA(B21:C21)=2, (B21*C21)*(1+$F$2), 0)</f>
        <v/>
      </c>
      <c r="E21" s="95" t="n">
        <v>0.25</v>
      </c>
      <c r="F21" s="94">
        <f>IF(D21&gt;0, D21*(1+E21), 0)</f>
        <v/>
      </c>
    </row>
    <row r="22" ht="15" customHeight="1" s="59">
      <c r="A22" s="96" t="n"/>
      <c r="B22" s="97" t="n"/>
      <c r="C22" s="98" t="n"/>
      <c r="D22" s="94">
        <f>IF(COUNTA(B22:C22)=2, (B22*C22)*(1+$F$2), 0)</f>
        <v/>
      </c>
      <c r="E22" s="95" t="n">
        <v>0.25</v>
      </c>
      <c r="F22" s="94">
        <f>IF(D22&gt;0, D22*(1+E22), 0)</f>
        <v/>
      </c>
    </row>
    <row r="23" ht="15" customHeight="1" s="59">
      <c r="A23" s="96" t="n"/>
      <c r="B23" s="97" t="n"/>
      <c r="C23" s="98" t="n"/>
      <c r="D23" s="94">
        <f>IF(COUNTA(B23:C23)=2, (B23*C23)*(1+$F$2), 0)</f>
        <v/>
      </c>
      <c r="E23" s="95" t="n">
        <v>0.25</v>
      </c>
      <c r="F23" s="94">
        <f>IF(D23&gt;0, D23*(1+E23), 0)</f>
        <v/>
      </c>
    </row>
    <row r="24" ht="15" customHeight="1" s="59">
      <c r="A24" s="96" t="n"/>
      <c r="B24" s="97" t="n"/>
      <c r="C24" s="98" t="n"/>
      <c r="D24" s="94">
        <f>IF(COUNTA(B24:C24)=2, (B24*C24)*(1+$F$2), 0)</f>
        <v/>
      </c>
      <c r="E24" s="95" t="n">
        <v>0.25</v>
      </c>
      <c r="F24" s="94">
        <f>IF(D24&gt;0, D24*(1+E24), 0)</f>
        <v/>
      </c>
    </row>
    <row r="25" ht="15" customHeight="1" s="59">
      <c r="A25" s="96" t="n"/>
      <c r="B25" s="97" t="n"/>
      <c r="C25" s="98" t="n"/>
      <c r="D25" s="94">
        <f>IF(COUNTA(B25:C25)=2, (B25*C25)*(1+$F$2), 0)</f>
        <v/>
      </c>
      <c r="E25" s="95" t="n">
        <v>0.25</v>
      </c>
      <c r="F25" s="94">
        <f>IF(D25&gt;0, D25*(1+E25), 0)</f>
        <v/>
      </c>
    </row>
    <row r="26" ht="15" customHeight="1" s="59">
      <c r="A26" s="96" t="n"/>
      <c r="B26" s="97" t="n"/>
      <c r="C26" s="98" t="n"/>
      <c r="D26" s="94">
        <f>IF(COUNTA(B26:C26)=2, (B26*C26)*(1+$F$2), 0)</f>
        <v/>
      </c>
      <c r="E26" s="95" t="n">
        <v>0.25</v>
      </c>
      <c r="F26" s="94">
        <f>IF(D26&gt;0, D26*(1+E26), 0)</f>
        <v/>
      </c>
    </row>
    <row r="27" ht="15" customHeight="1" s="59">
      <c r="A27" s="96" t="n"/>
      <c r="B27" s="97" t="n"/>
      <c r="C27" s="98" t="n"/>
      <c r="D27" s="94">
        <f>IF(COUNTA(B27:C27)=2, (B27*C27)*(1+$F$2), 0)</f>
        <v/>
      </c>
      <c r="E27" s="95" t="n">
        <v>0.25</v>
      </c>
      <c r="F27" s="94">
        <f>IF(D27&gt;0, D27*(1+E27), 0)</f>
        <v/>
      </c>
    </row>
    <row r="28" ht="15" customHeight="1" s="59">
      <c r="A28" s="96" t="n"/>
      <c r="B28" s="97" t="n"/>
      <c r="C28" s="98" t="n"/>
      <c r="D28" s="94">
        <f>IF(COUNTA(B28:C28)=2, (B28*C28)*(1+$F$2), 0)</f>
        <v/>
      </c>
      <c r="E28" s="95" t="n">
        <v>0.25</v>
      </c>
      <c r="F28" s="94">
        <f>IF(D28&gt;0, D28*(1+E28), 0)</f>
        <v/>
      </c>
    </row>
    <row r="29" ht="15" customHeight="1" s="59">
      <c r="A29" s="96" t="n"/>
      <c r="B29" s="97" t="n"/>
      <c r="C29" s="98" t="n"/>
      <c r="D29" s="94">
        <f>IF(COUNTA(B29:C29)=2, (B29*C29)*(1+$F$2), 0)</f>
        <v/>
      </c>
      <c r="E29" s="95" t="n">
        <v>0.25</v>
      </c>
      <c r="F29" s="94">
        <f>IF(D29&gt;0, D29*(1+E29), 0)</f>
        <v/>
      </c>
    </row>
    <row r="30" ht="15" customHeight="1" s="59">
      <c r="A30" s="100" t="inlineStr">
        <is>
          <t>Dump Fee</t>
        </is>
      </c>
      <c r="B30" s="97" t="n"/>
      <c r="C30" s="98" t="n"/>
      <c r="D30" s="66">
        <f>IF(B30&gt;0, B30*300, 0)</f>
        <v/>
      </c>
      <c r="E30" s="101" t="inlineStr">
        <is>
          <t>Fixed Markup</t>
        </is>
      </c>
      <c r="F30" s="66">
        <f>IF(B30&gt;0, B30*500, 0)</f>
        <v/>
      </c>
    </row>
    <row r="31" ht="15" customHeight="1" s="59">
      <c r="A31" s="102" t="inlineStr">
        <is>
          <t>Total Materials &amp; Fees</t>
        </is>
      </c>
      <c r="B31" s="103" t="n"/>
      <c r="C31" s="103" t="n"/>
      <c r="D31" s="104">
        <f>SUM(D5:D30)+SUM(D36:D45)</f>
        <v/>
      </c>
      <c r="E31" s="103" t="n"/>
      <c r="F31" s="104">
        <f>SUM(F5:F30)+SUM(F36:F45)</f>
        <v/>
      </c>
    </row>
    <row r="34" ht="15" customHeight="1" s="59">
      <c r="A34" s="105" t="inlineStr">
        <is>
          <t>SHOWROOM MATERIALS (DIRECT VS RETAIL)</t>
        </is>
      </c>
      <c r="B34" s="105" t="n"/>
      <c r="C34" s="105" t="n"/>
      <c r="D34" s="105" t="n"/>
      <c r="E34" s="105" t="n"/>
      <c r="F34" s="105" t="n"/>
      <c r="G34" s="105" t="n"/>
    </row>
    <row r="35" ht="15" customHeight="1" s="59">
      <c r="A35" s="58" t="inlineStr">
        <is>
          <t>Showroom Item Description</t>
        </is>
      </c>
      <c r="B35" s="58" t="inlineStr">
        <is>
          <t>Qty</t>
        </is>
      </c>
      <c r="C35" s="58" t="inlineStr">
        <is>
          <t>Direct Cost/Unit</t>
        </is>
      </c>
      <c r="D35" s="58" t="inlineStr">
        <is>
          <t>Total Internal Cost (+6% Tax)</t>
        </is>
      </c>
      <c r="E35" s="58" t="inlineStr">
        <is>
          <t>Showroom Retail Price/Unit</t>
        </is>
      </c>
      <c r="F35" s="58" t="inlineStr">
        <is>
          <t>Customer Price</t>
        </is>
      </c>
      <c r="G35" s="58" t="inlineStr">
        <is>
          <t>Profit ($)</t>
        </is>
      </c>
    </row>
    <row r="36" ht="15" customHeight="1" s="59">
      <c r="A36" s="106" t="n"/>
      <c r="B36" s="106" t="n"/>
      <c r="C36" s="106" t="n"/>
      <c r="D36" s="58">
        <f>IF(B36&gt;0, B36*C36*1.06, 0)</f>
        <v/>
      </c>
      <c r="E36" s="106" t="n"/>
      <c r="F36" s="58">
        <f>IF(B36&gt;0, B36*E36, 0)</f>
        <v/>
      </c>
      <c r="G36" s="58">
        <f>F36-D36</f>
        <v/>
      </c>
    </row>
    <row r="37" ht="15" customHeight="1" s="59">
      <c r="A37" s="106" t="n"/>
      <c r="B37" s="106" t="n"/>
      <c r="C37" s="106" t="n"/>
      <c r="D37" s="58">
        <f>IF(B37&gt;0, B37*C37*1.06, 0)</f>
        <v/>
      </c>
      <c r="E37" s="106" t="n"/>
      <c r="F37" s="58">
        <f>IF(B37&gt;0, B37*E37, 0)</f>
        <v/>
      </c>
      <c r="G37" s="58">
        <f>F37-D37</f>
        <v/>
      </c>
    </row>
    <row r="38" ht="15" customHeight="1" s="59">
      <c r="A38" s="106" t="n"/>
      <c r="B38" s="106" t="n"/>
      <c r="C38" s="106" t="n"/>
      <c r="D38" s="58">
        <f>IF(B38&gt;0, B38*C38*1.06, 0)</f>
        <v/>
      </c>
      <c r="E38" s="106" t="n"/>
      <c r="F38" s="58">
        <f>IF(B38&gt;0, B38*E38, 0)</f>
        <v/>
      </c>
      <c r="G38" s="58">
        <f>F38-D38</f>
        <v/>
      </c>
    </row>
    <row r="39" ht="15" customHeight="1" s="59">
      <c r="A39" s="106" t="n"/>
      <c r="B39" s="106" t="n"/>
      <c r="C39" s="106" t="n"/>
      <c r="D39" s="58">
        <f>IF(B39&gt;0, B39*C39*1.06, 0)</f>
        <v/>
      </c>
      <c r="E39" s="106" t="n"/>
      <c r="F39" s="58">
        <f>IF(B39&gt;0, B39*E39, 0)</f>
        <v/>
      </c>
      <c r="G39" s="58">
        <f>F39-D39</f>
        <v/>
      </c>
    </row>
    <row r="40" ht="15" customHeight="1" s="59">
      <c r="A40" s="106" t="n"/>
      <c r="B40" s="106" t="n"/>
      <c r="C40" s="106" t="n"/>
      <c r="D40" s="58">
        <f>IF(B40&gt;0, B40*C40*1.06, 0)</f>
        <v/>
      </c>
      <c r="E40" s="106" t="n"/>
      <c r="F40" s="58">
        <f>IF(B40&gt;0, B40*E40, 0)</f>
        <v/>
      </c>
      <c r="G40" s="58">
        <f>F40-D40</f>
        <v/>
      </c>
    </row>
    <row r="41" ht="15" customHeight="1" s="59">
      <c r="A41" s="106" t="n"/>
      <c r="B41" s="106" t="n"/>
      <c r="C41" s="106" t="n"/>
      <c r="D41" s="58">
        <f>IF(B41&gt;0, B41*C41*1.06, 0)</f>
        <v/>
      </c>
      <c r="E41" s="106" t="n"/>
      <c r="F41" s="58">
        <f>IF(B41&gt;0, B41*E41, 0)</f>
        <v/>
      </c>
      <c r="G41" s="58">
        <f>F41-D41</f>
        <v/>
      </c>
    </row>
    <row r="42" ht="15" customHeight="1" s="59">
      <c r="A42" s="106" t="n"/>
      <c r="B42" s="106" t="n"/>
      <c r="C42" s="106" t="n"/>
      <c r="D42" s="58">
        <f>IF(B42&gt;0, B42*C42*1.06, 0)</f>
        <v/>
      </c>
      <c r="E42" s="106" t="n"/>
      <c r="F42" s="58">
        <f>IF(B42&gt;0, B42*E42, 0)</f>
        <v/>
      </c>
      <c r="G42" s="58">
        <f>F42-D42</f>
        <v/>
      </c>
    </row>
    <row r="43" ht="15" customHeight="1" s="59">
      <c r="A43" s="106" t="n"/>
      <c r="B43" s="106" t="n"/>
      <c r="C43" s="106" t="n"/>
      <c r="D43" s="58">
        <f>IF(B43&gt;0, B43*C43*1.06, 0)</f>
        <v/>
      </c>
      <c r="E43" s="106" t="n"/>
      <c r="F43" s="58">
        <f>IF(B43&gt;0, B43*E43, 0)</f>
        <v/>
      </c>
      <c r="G43" s="58">
        <f>F43-D43</f>
        <v/>
      </c>
    </row>
    <row r="44" ht="15" customHeight="1" s="59">
      <c r="A44" s="106" t="n"/>
      <c r="B44" s="106" t="n"/>
      <c r="C44" s="106" t="n"/>
      <c r="D44" s="58">
        <f>IF(B44&gt;0, B44*C44*1.06, 0)</f>
        <v/>
      </c>
      <c r="E44" s="106" t="n"/>
      <c r="F44" s="58">
        <f>IF(B44&gt;0, B44*E44, 0)</f>
        <v/>
      </c>
      <c r="G44" s="58">
        <f>F44-D44</f>
        <v/>
      </c>
    </row>
    <row r="45" ht="15" customHeight="1" s="59">
      <c r="A45" s="106" t="n"/>
      <c r="B45" s="106" t="n"/>
      <c r="C45" s="106" t="n"/>
      <c r="D45" s="58">
        <f>IF(B45&gt;0, B45*C45*1.06, 0)</f>
        <v/>
      </c>
      <c r="E45" s="106" t="n"/>
      <c r="F45" s="58">
        <f>IF(B45&gt;0, B45*E45, 0)</f>
        <v/>
      </c>
      <c r="G45" s="58">
        <f>F45-D45</f>
        <v/>
      </c>
    </row>
    <row r="46" ht="15" customHeight="1" s="59">
      <c r="A46" s="102" t="inlineStr">
        <is>
          <t>Total Showroom Profit</t>
        </is>
      </c>
      <c r="B46" s="103" t="n"/>
      <c r="C46" s="103" t="n"/>
      <c r="D46" s="104">
        <f>SUM(D36:D45)</f>
        <v/>
      </c>
      <c r="E46" s="103" t="n"/>
      <c r="F46" s="104">
        <f>SUM(F36:F45)</f>
        <v/>
      </c>
      <c r="G46" s="58">
        <f>SUM(G36:G45)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aa8c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2:F5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30" activeCellId="0" sqref="B30"/>
    </sheetView>
  </sheetViews>
  <sheetFormatPr baseColWidth="8" defaultColWidth="8.453125" defaultRowHeight="15" customHeight="0" zeroHeight="0" outlineLevelRow="0"/>
  <cols>
    <col width="46" customWidth="1" style="58" min="1" max="1"/>
    <col width="13" customWidth="1" style="58" min="2" max="6"/>
    <col width="8.449999999999999" customWidth="1" style="58" min="7" max="16384"/>
  </cols>
  <sheetData>
    <row r="2" ht="15" customHeight="1" s="59">
      <c r="A2" s="89" t="inlineStr">
        <is>
          <t>Labor Rate &amp; Time Estimator Template</t>
        </is>
      </c>
      <c r="E2" s="58" t="inlineStr">
        <is>
          <t>Standard Cost/Hr:</t>
        </is>
      </c>
      <c r="F2" s="107" t="n">
        <v>35</v>
      </c>
    </row>
    <row r="3" ht="15" customHeight="1" s="59">
      <c r="E3" s="58" t="inlineStr">
        <is>
          <t>Standard Retail/Hr:</t>
        </is>
      </c>
      <c r="F3" s="107" t="n">
        <v>75</v>
      </c>
    </row>
    <row r="4" ht="15" customHeight="1" s="59">
      <c r="A4" s="63" t="inlineStr">
        <is>
          <t>Labor Task Description</t>
        </is>
      </c>
      <c r="B4" s="64" t="inlineStr">
        <is>
          <t>Hours / Qty</t>
        </is>
      </c>
      <c r="C4" s="64" t="inlineStr">
        <is>
          <t>Our Rate</t>
        </is>
      </c>
      <c r="D4" s="64" t="inlineStr">
        <is>
          <t>Our Total Cost</t>
        </is>
      </c>
      <c r="E4" s="64" t="inlineStr">
        <is>
          <t>Retail Rate</t>
        </is>
      </c>
      <c r="F4" s="64" t="inlineStr">
        <is>
          <t>Customer Total Price</t>
        </is>
      </c>
    </row>
    <row r="5" ht="15" customHeight="1" s="59">
      <c r="A5" s="91" t="inlineStr">
        <is>
          <t>#Demolition</t>
        </is>
      </c>
      <c r="B5" s="92" t="n"/>
      <c r="C5" s="94">
        <f>$F$2</f>
        <v/>
      </c>
      <c r="D5" s="94">
        <f>IF(B5&gt;0, B5*C5, 0)</f>
        <v/>
      </c>
      <c r="E5" s="94">
        <f>$F$3</f>
        <v/>
      </c>
      <c r="F5" s="94">
        <f>IF(B5&gt;0, B5*E5, 0)</f>
        <v/>
      </c>
    </row>
    <row r="6" ht="15" customHeight="1" s="59">
      <c r="A6" s="96" t="n"/>
      <c r="B6" s="97" t="n"/>
      <c r="C6" s="66">
        <f>$F$2</f>
        <v/>
      </c>
      <c r="D6" s="66">
        <f>IF(B6&gt;0, B6*C6, 0)</f>
        <v/>
      </c>
      <c r="E6" s="66">
        <f>$F$3</f>
        <v/>
      </c>
      <c r="F6" s="66">
        <f>IF(B6&gt;0, B6*E6, 0)</f>
        <v/>
      </c>
    </row>
    <row r="7" ht="15" customHeight="1" s="59">
      <c r="A7" s="91" t="n"/>
      <c r="B7" s="92" t="n"/>
      <c r="C7" s="94">
        <f>$F$2</f>
        <v/>
      </c>
      <c r="D7" s="94">
        <f>IF(B7&gt;0, B7*C7, 0)</f>
        <v/>
      </c>
      <c r="E7" s="94">
        <f>$F$3</f>
        <v/>
      </c>
      <c r="F7" s="94">
        <f>IF(B7&gt;0, B7*E7, 0)</f>
        <v/>
      </c>
    </row>
    <row r="8" ht="15" customHeight="1" s="59">
      <c r="A8" s="96" t="n"/>
      <c r="B8" s="97" t="n"/>
      <c r="C8" s="66">
        <f>$F$2</f>
        <v/>
      </c>
      <c r="D8" s="66">
        <f>IF(B8&gt;0, B8*C8, 0)</f>
        <v/>
      </c>
      <c r="E8" s="66">
        <f>$F$3</f>
        <v/>
      </c>
      <c r="F8" s="66">
        <f>IF(B8&gt;0, B8*E8, 0)</f>
        <v/>
      </c>
    </row>
    <row r="9" ht="15" customHeight="1" s="59">
      <c r="A9" s="91" t="n"/>
      <c r="B9" s="92" t="n"/>
      <c r="C9" s="94">
        <f>$F$2</f>
        <v/>
      </c>
      <c r="D9" s="94">
        <f>IF(B9&gt;0, B9*C9, 0)</f>
        <v/>
      </c>
      <c r="E9" s="94">
        <f>$F$3</f>
        <v/>
      </c>
      <c r="F9" s="94">
        <f>IF(B9&gt;0, B9*E9, 0)</f>
        <v/>
      </c>
    </row>
    <row r="10" ht="15" customHeight="1" s="59">
      <c r="A10" s="96" t="inlineStr">
        <is>
          <t>#Carpentry</t>
        </is>
      </c>
      <c r="B10" s="97" t="n"/>
      <c r="C10" s="66">
        <f>$F$2</f>
        <v/>
      </c>
      <c r="D10" s="66">
        <f>IF(B10&gt;0, B10*C10, 0)</f>
        <v/>
      </c>
      <c r="E10" s="66">
        <f>$F$3</f>
        <v/>
      </c>
      <c r="F10" s="66">
        <f>IF(B10&gt;0, B10*E10, 0)</f>
        <v/>
      </c>
    </row>
    <row r="11" ht="15" customHeight="1" s="59">
      <c r="A11" s="91" t="n"/>
      <c r="B11" s="92" t="n"/>
      <c r="C11" s="94">
        <f>$F$2</f>
        <v/>
      </c>
      <c r="D11" s="94">
        <f>IF(B11&gt;0, B11*C11, 0)</f>
        <v/>
      </c>
      <c r="E11" s="94">
        <f>$F$3</f>
        <v/>
      </c>
      <c r="F11" s="94">
        <f>IF(B11&gt;0, B11*E11, 0)</f>
        <v/>
      </c>
    </row>
    <row r="12" ht="15" customHeight="1" s="59">
      <c r="A12" s="96" t="n"/>
      <c r="B12" s="97" t="n"/>
      <c r="C12" s="66">
        <f>$F$2</f>
        <v/>
      </c>
      <c r="D12" s="66">
        <f>IF(B12&gt;0, B12*C12, 0)</f>
        <v/>
      </c>
      <c r="E12" s="66">
        <f>$F$3</f>
        <v/>
      </c>
      <c r="F12" s="66">
        <f>IF(B12&gt;0, B12*E12, 0)</f>
        <v/>
      </c>
    </row>
    <row r="13" ht="15" customHeight="1" s="59">
      <c r="A13" s="91" t="n"/>
      <c r="B13" s="92" t="n"/>
      <c r="C13" s="94">
        <f>$F$2</f>
        <v/>
      </c>
      <c r="D13" s="94">
        <f>IF(B13&gt;0, B13*C13, 0)</f>
        <v/>
      </c>
      <c r="E13" s="94">
        <f>$F$3</f>
        <v/>
      </c>
      <c r="F13" s="94">
        <f>IF(B13&gt;0, B13*E13, 0)</f>
        <v/>
      </c>
    </row>
    <row r="14" ht="15" customHeight="1" s="59">
      <c r="A14" s="91" t="n"/>
      <c r="B14" s="92" t="n"/>
      <c r="C14" s="94">
        <f>$F$2</f>
        <v/>
      </c>
      <c r="D14" s="94">
        <f>IF(B14&gt;0, B14*C14, 0)</f>
        <v/>
      </c>
      <c r="E14" s="94">
        <f>$F$3</f>
        <v/>
      </c>
      <c r="F14" s="94">
        <f>IF(B14&gt;0, B14*E14, 0)</f>
        <v/>
      </c>
    </row>
    <row r="15" ht="15" customHeight="1" s="59">
      <c r="A15" s="91" t="n"/>
      <c r="B15" s="92" t="n"/>
      <c r="C15" s="94">
        <f>$F$2</f>
        <v/>
      </c>
      <c r="D15" s="94">
        <f>IF(B15&gt;0, B15*C15, 0)</f>
        <v/>
      </c>
      <c r="E15" s="94">
        <f>$F$3</f>
        <v/>
      </c>
      <c r="F15" s="94">
        <f>IF(B15&gt;0, B15*E15, 0)</f>
        <v/>
      </c>
    </row>
    <row r="16" ht="15" customHeight="1" s="59">
      <c r="A16" s="96" t="n"/>
      <c r="B16" s="97" t="n"/>
      <c r="C16" s="66">
        <f>$F$2</f>
        <v/>
      </c>
      <c r="D16" s="66">
        <f>IF(B16&gt;0, B16*C16, 0)</f>
        <v/>
      </c>
      <c r="E16" s="66">
        <f>$F$3</f>
        <v/>
      </c>
      <c r="F16" s="66">
        <f>IF(B16&gt;0, B16*E16, 0)</f>
        <v/>
      </c>
    </row>
    <row r="17" ht="15" customHeight="1" s="59">
      <c r="A17" s="96" t="n"/>
      <c r="B17" s="97" t="n"/>
      <c r="C17" s="66">
        <f>$F$2</f>
        <v/>
      </c>
      <c r="D17" s="66">
        <f>IF(B17&gt;0, B17*C17, 0)</f>
        <v/>
      </c>
      <c r="E17" s="66">
        <f>$F$3</f>
        <v/>
      </c>
      <c r="F17" s="66">
        <f>IF(B17&gt;0, B17*E17, 0)</f>
        <v/>
      </c>
    </row>
    <row r="18" ht="15" customHeight="1" s="59">
      <c r="A18" s="96" t="n"/>
      <c r="B18" s="97" t="n"/>
      <c r="C18" s="66">
        <f>$F$2</f>
        <v/>
      </c>
      <c r="D18" s="66">
        <f>IF(B18&gt;0, B18*C18, 0)</f>
        <v/>
      </c>
      <c r="E18" s="66">
        <f>$F$3</f>
        <v/>
      </c>
      <c r="F18" s="66">
        <f>IF(B18&gt;0, B18*E18, 0)</f>
        <v/>
      </c>
    </row>
    <row r="19" ht="15" customHeight="1" s="59">
      <c r="A19" s="96" t="n"/>
      <c r="B19" s="97" t="n"/>
      <c r="C19" s="66">
        <f>$F$2</f>
        <v/>
      </c>
      <c r="D19" s="66">
        <f>IF(B19&gt;0, B19*C19, 0)</f>
        <v/>
      </c>
      <c r="E19" s="66">
        <f>$F$3</f>
        <v/>
      </c>
      <c r="F19" s="66">
        <f>IF(B19&gt;0, B19*E19, 0)</f>
        <v/>
      </c>
    </row>
    <row r="20" ht="15" customHeight="1" s="59">
      <c r="A20" s="96" t="n"/>
      <c r="B20" s="97" t="n"/>
      <c r="C20" s="66">
        <f>$F$2</f>
        <v/>
      </c>
      <c r="D20" s="66">
        <f>IF(B20&gt;0, B20*C20, 0)</f>
        <v/>
      </c>
      <c r="E20" s="66">
        <f>$F$3</f>
        <v/>
      </c>
      <c r="F20" s="66">
        <f>IF(B20&gt;0, B20*E20, 0)</f>
        <v/>
      </c>
    </row>
    <row r="21" ht="15" customHeight="1" s="59">
      <c r="A21" s="96" t="n"/>
      <c r="B21" s="97" t="n"/>
      <c r="C21" s="66">
        <f>$F$2</f>
        <v/>
      </c>
      <c r="D21" s="66">
        <f>IF(B21&gt;0, B21*C21, 0)</f>
        <v/>
      </c>
      <c r="E21" s="66">
        <f>$F$3</f>
        <v/>
      </c>
      <c r="F21" s="66">
        <f>IF(B21&gt;0, B21*E21, 0)</f>
        <v/>
      </c>
    </row>
    <row r="22" ht="15" customHeight="1" s="59">
      <c r="A22" s="96" t="n"/>
      <c r="B22" s="97" t="n"/>
      <c r="C22" s="66">
        <f>$F$2</f>
        <v/>
      </c>
      <c r="D22" s="66">
        <f>IF(B22&gt;0, B22*C22, 0)</f>
        <v/>
      </c>
      <c r="E22" s="66">
        <f>$F$3</f>
        <v/>
      </c>
      <c r="F22" s="66">
        <f>IF(B22&gt;0, B22*E22, 0)</f>
        <v/>
      </c>
    </row>
    <row r="23" ht="15" customHeight="1" s="59">
      <c r="A23" s="96" t="n"/>
      <c r="B23" s="97" t="n"/>
      <c r="C23" s="66">
        <f>$F$2</f>
        <v/>
      </c>
      <c r="D23" s="66">
        <f>IF(B23&gt;0, B23*C23, 0)</f>
        <v/>
      </c>
      <c r="E23" s="66">
        <f>$F$3</f>
        <v/>
      </c>
      <c r="F23" s="66">
        <f>IF(B23&gt;0, B23*E23, 0)</f>
        <v/>
      </c>
    </row>
    <row r="24" ht="15" customHeight="1" s="59">
      <c r="A24" s="96" t="n"/>
      <c r="B24" s="97" t="n"/>
      <c r="C24" s="66">
        <f>$F$2</f>
        <v/>
      </c>
      <c r="D24" s="66">
        <f>IF(B24&gt;0, B24*C24, 0)</f>
        <v/>
      </c>
      <c r="E24" s="66">
        <f>$F$3</f>
        <v/>
      </c>
      <c r="F24" s="66">
        <f>IF(B24&gt;0, B24*E24, 0)</f>
        <v/>
      </c>
    </row>
    <row r="25" ht="15" customHeight="1" s="59">
      <c r="A25" s="96" t="n"/>
      <c r="B25" s="97" t="n"/>
      <c r="C25" s="66">
        <f>$F$2</f>
        <v/>
      </c>
      <c r="D25" s="66">
        <f>IF(B25&gt;0, B25*C25, 0)</f>
        <v/>
      </c>
      <c r="E25" s="66">
        <f>$F$3</f>
        <v/>
      </c>
      <c r="F25" s="66">
        <f>IF(B25&gt;0, B25*E25, 0)</f>
        <v/>
      </c>
    </row>
    <row r="26" ht="15" customHeight="1" s="59">
      <c r="A26" s="91" t="inlineStr">
        <is>
          <t>#Plumbing</t>
        </is>
      </c>
      <c r="B26" s="92" t="n"/>
      <c r="C26" s="94">
        <f>$F$2</f>
        <v/>
      </c>
      <c r="D26" s="94">
        <f>IF(B26&gt;0, B26*C26, 0)</f>
        <v/>
      </c>
      <c r="E26" s="94">
        <f>$F$3</f>
        <v/>
      </c>
      <c r="F26" s="94">
        <f>IF(B26&gt;0, B26*E26, 0)</f>
        <v/>
      </c>
    </row>
    <row r="27" ht="15" customHeight="1" s="59">
      <c r="A27" s="91" t="n"/>
      <c r="B27" s="92" t="n"/>
      <c r="C27" s="94">
        <f>$F$2</f>
        <v/>
      </c>
      <c r="D27" s="94">
        <f>IF(B27&gt;0, B27*C27, 0)</f>
        <v/>
      </c>
      <c r="E27" s="94">
        <f>$F$3</f>
        <v/>
      </c>
      <c r="F27" s="94">
        <f>IF(B27&gt;0, B27*E27, 0)</f>
        <v/>
      </c>
    </row>
    <row r="28" ht="15" customHeight="1" s="59">
      <c r="A28" s="91" t="n"/>
      <c r="B28" s="92" t="n"/>
      <c r="C28" s="94">
        <f>$F$2</f>
        <v/>
      </c>
      <c r="D28" s="94">
        <f>IF(B28&gt;0, B28*C28, 0)</f>
        <v/>
      </c>
      <c r="E28" s="94">
        <f>$F$3</f>
        <v/>
      </c>
      <c r="F28" s="94">
        <f>IF(B28&gt;0, B28*E28, 0)</f>
        <v/>
      </c>
    </row>
    <row r="29" ht="15" customHeight="1" s="59">
      <c r="A29" s="91" t="n"/>
      <c r="B29" s="92" t="n"/>
      <c r="C29" s="94">
        <f>$F$2</f>
        <v/>
      </c>
      <c r="D29" s="94">
        <f>IF(B29&gt;0, B29*C29, 0)</f>
        <v/>
      </c>
      <c r="E29" s="94">
        <f>$F$3</f>
        <v/>
      </c>
      <c r="F29" s="94">
        <f>IF(B29&gt;0, B29*E29, 0)</f>
        <v/>
      </c>
    </row>
    <row r="30" ht="15" customHeight="1" s="59">
      <c r="A30" s="91" t="n"/>
      <c r="B30" s="92" t="n"/>
      <c r="C30" s="94">
        <f>$F$2</f>
        <v/>
      </c>
      <c r="D30" s="94">
        <f>IF(B30&gt;0, B30*C30, 0)</f>
        <v/>
      </c>
      <c r="E30" s="94">
        <f>$F$3</f>
        <v/>
      </c>
      <c r="F30" s="94">
        <f>IF(B30&gt;0, B30*E30, 0)</f>
        <v/>
      </c>
    </row>
    <row r="31" ht="15" customHeight="1" s="59">
      <c r="A31" s="96" t="n"/>
      <c r="B31" s="97" t="n"/>
      <c r="C31" s="66">
        <f>$F$2</f>
        <v/>
      </c>
      <c r="D31" s="66">
        <f>IF(B31&gt;0, B31*C31, 0)</f>
        <v/>
      </c>
      <c r="E31" s="66">
        <f>$F$3</f>
        <v/>
      </c>
      <c r="F31" s="66">
        <f>IF(B31&gt;0, B31*E31, 0)</f>
        <v/>
      </c>
    </row>
    <row r="32" ht="15" customHeight="1" s="59">
      <c r="A32" s="96" t="n"/>
      <c r="B32" s="97" t="n"/>
      <c r="C32" s="66">
        <f>$F$2</f>
        <v/>
      </c>
      <c r="D32" s="66">
        <f>IF(B32&gt;0, B32*C32, 0)</f>
        <v/>
      </c>
      <c r="E32" s="66">
        <f>$F$3</f>
        <v/>
      </c>
      <c r="F32" s="66">
        <f>IF(B32&gt;0, B32*E32, 0)</f>
        <v/>
      </c>
    </row>
    <row r="33" ht="15" customHeight="1" s="59">
      <c r="A33" s="96" t="n"/>
      <c r="B33" s="97" t="n"/>
      <c r="C33" s="66">
        <f>$F$2</f>
        <v/>
      </c>
      <c r="D33" s="66">
        <f>IF(B33&gt;0, B33*C33, 0)</f>
        <v/>
      </c>
      <c r="E33" s="66">
        <f>$F$3</f>
        <v/>
      </c>
      <c r="F33" s="66">
        <f>IF(B33&gt;0, B33*E33, 0)</f>
        <v/>
      </c>
    </row>
    <row r="34" ht="15" customHeight="1" s="59">
      <c r="A34" s="96" t="n"/>
      <c r="B34" s="97" t="n"/>
      <c r="C34" s="66">
        <f>$F$2</f>
        <v/>
      </c>
      <c r="D34" s="66">
        <f>IF(B34&gt;0, B34*C34, 0)</f>
        <v/>
      </c>
      <c r="E34" s="66">
        <f>$F$3</f>
        <v/>
      </c>
      <c r="F34" s="66">
        <f>IF(B34&gt;0, B34*E34, 0)</f>
        <v/>
      </c>
    </row>
    <row r="35" ht="15" customHeight="1" s="59">
      <c r="A35" s="91" t="inlineStr">
        <is>
          <t>#Electrical</t>
        </is>
      </c>
      <c r="B35" s="92" t="n"/>
      <c r="C35" s="94">
        <f>$F$2</f>
        <v/>
      </c>
      <c r="D35" s="94">
        <f>IF(B35&gt;0, B35*C35, 0)</f>
        <v/>
      </c>
      <c r="E35" s="94">
        <f>$F$3</f>
        <v/>
      </c>
      <c r="F35" s="94">
        <f>IF(B35&gt;0, B35*E35, 0)</f>
        <v/>
      </c>
    </row>
    <row r="36" ht="15" customHeight="1" s="59">
      <c r="A36" s="91" t="n"/>
      <c r="B36" s="92" t="n"/>
      <c r="C36" s="94">
        <f>$F$2</f>
        <v/>
      </c>
      <c r="D36" s="94">
        <f>IF(B36&gt;0, B36*C36, 0)</f>
        <v/>
      </c>
      <c r="E36" s="94">
        <f>$F$3</f>
        <v/>
      </c>
      <c r="F36" s="94">
        <f>IF(B36&gt;0, B36*E36, 0)</f>
        <v/>
      </c>
    </row>
    <row r="37" ht="15" customHeight="1" s="59">
      <c r="A37" s="91" t="n"/>
      <c r="B37" s="92" t="n"/>
      <c r="C37" s="94">
        <f>$F$2</f>
        <v/>
      </c>
      <c r="D37" s="94">
        <f>IF(B37&gt;0, B37*C37, 0)</f>
        <v/>
      </c>
      <c r="E37" s="94">
        <f>$F$3</f>
        <v/>
      </c>
      <c r="F37" s="94">
        <f>IF(B37&gt;0, B37*E37, 0)</f>
        <v/>
      </c>
    </row>
    <row r="38">
      <c r="A38" s="91" t="n"/>
      <c r="B38" s="92" t="n"/>
      <c r="C38" s="94">
        <f>$F$2</f>
        <v/>
      </c>
      <c r="D38" s="94">
        <f>IF(B38&gt;0, B38*C38, 0)</f>
        <v/>
      </c>
      <c r="E38" s="94">
        <f>$F$3</f>
        <v/>
      </c>
      <c r="F38" s="94">
        <f>IF(B38&gt;0, B38*E38, 0)</f>
        <v/>
      </c>
    </row>
    <row r="39">
      <c r="A39" s="91" t="n"/>
      <c r="B39" s="92" t="n"/>
      <c r="C39" s="94">
        <f>$F$2</f>
        <v/>
      </c>
      <c r="D39" s="94">
        <f>IF(B39&gt;0, B39*C39, 0)</f>
        <v/>
      </c>
      <c r="E39" s="94">
        <f>$F$3</f>
        <v/>
      </c>
      <c r="F39" s="94">
        <f>IF(B39&gt;0, B39*E39, 0)</f>
        <v/>
      </c>
    </row>
    <row r="40">
      <c r="A40" s="91" t="n"/>
      <c r="B40" s="92" t="n"/>
      <c r="C40" s="94">
        <f>$F$2</f>
        <v/>
      </c>
      <c r="D40" s="94">
        <f>IF(B40&gt;0, B40*C40, 0)</f>
        <v/>
      </c>
      <c r="E40" s="94">
        <f>$F$3</f>
        <v/>
      </c>
      <c r="F40" s="94">
        <f>IF(B40&gt;0, B40*E40, 0)</f>
        <v/>
      </c>
    </row>
    <row r="41">
      <c r="A41" s="91" t="n"/>
      <c r="B41" s="92" t="n"/>
      <c r="C41" s="94">
        <f>$F$2</f>
        <v/>
      </c>
      <c r="D41" s="94">
        <f>IF(B41&gt;0, B41*C41, 0)</f>
        <v/>
      </c>
      <c r="E41" s="94">
        <f>$F$3</f>
        <v/>
      </c>
      <c r="F41" s="94">
        <f>IF(B41&gt;0, B41*E41, 0)</f>
        <v/>
      </c>
    </row>
    <row r="42">
      <c r="A42" s="91" t="n"/>
      <c r="B42" s="92" t="n"/>
      <c r="C42" s="94">
        <f>$F$2</f>
        <v/>
      </c>
      <c r="D42" s="94">
        <f>IF(B42&gt;0, B42*C42, 0)</f>
        <v/>
      </c>
      <c r="E42" s="94">
        <f>$F$3</f>
        <v/>
      </c>
      <c r="F42" s="94">
        <f>IF(B42&gt;0, B42*E42, 0)</f>
        <v/>
      </c>
    </row>
    <row r="43">
      <c r="A43" s="96" t="n"/>
      <c r="B43" s="97" t="n"/>
      <c r="C43" s="66">
        <f>$F$2</f>
        <v/>
      </c>
      <c r="D43" s="66">
        <f>IF(B43&gt;0, B43*C43, 0)</f>
        <v/>
      </c>
      <c r="E43" s="66">
        <f>$F$3</f>
        <v/>
      </c>
      <c r="F43" s="66">
        <f>IF(B43&gt;0, B43*E43, 0)</f>
        <v/>
      </c>
    </row>
    <row r="44">
      <c r="A44" s="108" t="inlineStr">
        <is>
          <t>3-Man Crew Premium Upgrade (Lead Carpenter + 2 Helpers)</t>
        </is>
      </c>
      <c r="B44" s="109" t="n"/>
      <c r="C44" s="110" t="n">
        <v>73</v>
      </c>
      <c r="D44" s="110">
        <f>IF(B44&gt;0, B44*C44, 0)</f>
        <v/>
      </c>
      <c r="E44" s="110" t="n">
        <v>120</v>
      </c>
      <c r="F44" s="110">
        <f>IF(B44&gt;0, B44*E44, 0)</f>
        <v/>
      </c>
    </row>
    <row r="45">
      <c r="A45" s="111" t="n"/>
      <c r="B45" s="109" t="n"/>
      <c r="C45" s="110">
        <f>$C$44</f>
        <v/>
      </c>
      <c r="D45" s="110">
        <f>IF(B45&gt;0, B45*C45, 0)</f>
        <v/>
      </c>
      <c r="E45" s="110">
        <f>$E$44</f>
        <v/>
      </c>
      <c r="F45" s="110">
        <f>IF(B45&gt;0, B45*E45, 0)</f>
        <v/>
      </c>
    </row>
    <row r="46">
      <c r="A46" s="111" t="n"/>
      <c r="B46" s="109" t="n"/>
      <c r="C46" s="110">
        <f>$C$44</f>
        <v/>
      </c>
      <c r="D46" s="110">
        <f>IF(B46&gt;0, B46*C46, 0)</f>
        <v/>
      </c>
      <c r="E46" s="110">
        <f>$E$44</f>
        <v/>
      </c>
      <c r="F46" s="110">
        <f>IF(B46&gt;0, B46*E46, 0)</f>
        <v/>
      </c>
    </row>
    <row r="47">
      <c r="A47" s="111" t="n"/>
      <c r="B47" s="109" t="n"/>
      <c r="C47" s="110">
        <f>$C$44</f>
        <v/>
      </c>
      <c r="D47" s="110">
        <f>IF(B47&gt;0, B47*C47, 0)</f>
        <v/>
      </c>
      <c r="E47" s="110">
        <f>$E$44</f>
        <v/>
      </c>
      <c r="F47" s="110">
        <f>IF(B47&gt;0, B47*E47, 0)</f>
        <v/>
      </c>
    </row>
    <row r="48">
      <c r="A48" s="111" t="n"/>
      <c r="B48" s="109" t="n"/>
      <c r="C48" s="110">
        <f>$C$44</f>
        <v/>
      </c>
      <c r="D48" s="110">
        <f>IF(B48&gt;0, B48*C48, 0)</f>
        <v/>
      </c>
      <c r="E48" s="110">
        <f>$E$44</f>
        <v/>
      </c>
      <c r="F48" s="110">
        <f>IF(B48&gt;0, B48*E48, 0)</f>
        <v/>
      </c>
    </row>
    <row r="49">
      <c r="A49" s="111" t="n"/>
      <c r="B49" s="109" t="n"/>
      <c r="C49" s="110">
        <f>$C$44</f>
        <v/>
      </c>
      <c r="D49" s="110">
        <f>IF(B49&gt;0, B49*C49, 0)</f>
        <v/>
      </c>
      <c r="E49" s="110">
        <f>$E$44</f>
        <v/>
      </c>
      <c r="F49" s="110">
        <f>IF(B49&gt;0, B49*E49, 0)</f>
        <v/>
      </c>
    </row>
    <row r="50">
      <c r="A50" s="111" t="n"/>
      <c r="B50" s="109" t="n"/>
      <c r="C50" s="110">
        <f>$C$44</f>
        <v/>
      </c>
      <c r="D50" s="110">
        <f>IF(B50&gt;0, B50*C50, 0)</f>
        <v/>
      </c>
      <c r="E50" s="110">
        <f>$E$44</f>
        <v/>
      </c>
      <c r="F50" s="110">
        <f>IF(B50&gt;0, B50*E50, 0)</f>
        <v/>
      </c>
    </row>
    <row r="51">
      <c r="A51" s="102" t="inlineStr">
        <is>
          <t>Total Labor</t>
        </is>
      </c>
      <c r="B51" s="102">
        <f>SUM(B5:B50)</f>
        <v/>
      </c>
      <c r="C51" s="103" t="n"/>
      <c r="D51" s="104">
        <f>SUM(D5:D50)</f>
        <v/>
      </c>
      <c r="E51" s="103" t="n"/>
      <c r="F51" s="104">
        <f>SUM(F5:F50)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aa8c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3" activeCellId="0" sqref="A13"/>
    </sheetView>
  </sheetViews>
  <sheetFormatPr baseColWidth="8" defaultColWidth="11.53515625" defaultRowHeight="12.8" customHeight="0" zeroHeight="0" outlineLevelRow="0"/>
  <cols>
    <col width="23.02" customWidth="1" style="58" min="1" max="1"/>
    <col width="18.93" customWidth="1" style="58" min="3" max="3"/>
    <col width="19.11" customWidth="1" style="58" min="4" max="4"/>
    <col width="12.55" customWidth="1" style="58" min="5" max="5"/>
    <col width="18.11" customWidth="1" style="58" min="6" max="6"/>
  </cols>
  <sheetData>
    <row r="1" ht="13.8" customHeight="1" s="59">
      <c r="A1" s="58" t="inlineStr">
        <is>
          <t xml:space="preserve">Subcontractor/Trade </t>
        </is>
      </c>
      <c r="B1" s="58" t="inlineStr">
        <is>
          <t>Qty</t>
        </is>
      </c>
      <c r="C1" s="58" t="inlineStr">
        <is>
          <t>Our Direct Cost/Unit</t>
        </is>
      </c>
      <c r="D1" s="58" t="inlineStr">
        <is>
          <t>Total  Internal Cost</t>
        </is>
      </c>
      <c r="E1" s="58" t="inlineStr">
        <is>
          <t>Markup%</t>
        </is>
      </c>
      <c r="F1" s="58" t="inlineStr">
        <is>
          <t>Customer Retail Price</t>
        </is>
      </c>
      <c r="G1" s="112" t="inlineStr">
        <is>
          <t xml:space="preserve">Profit ($) </t>
        </is>
      </c>
    </row>
    <row r="2" ht="13.8" customHeight="1" s="59">
      <c r="A2" s="106" t="inlineStr">
        <is>
          <t>#Plumbing</t>
        </is>
      </c>
      <c r="B2" s="106" t="n"/>
      <c r="C2" s="106" t="n"/>
      <c r="D2" s="58">
        <f>IF(B2&gt;0, B2*C2, 0)</f>
        <v/>
      </c>
      <c r="E2" s="113" t="n">
        <v>0.4286</v>
      </c>
      <c r="F2" s="58">
        <f>IF(D2&gt;0, D2*(1+E2), 0)</f>
        <v/>
      </c>
      <c r="G2" s="58">
        <f>F2-D2</f>
        <v/>
      </c>
    </row>
    <row r="3" ht="13.8" customHeight="1" s="59">
      <c r="A3" s="106" t="n"/>
      <c r="B3" s="106" t="n"/>
      <c r="C3" s="106" t="n"/>
      <c r="D3" s="58">
        <f>IF(B3&gt;0, B3*C3, 0)</f>
        <v/>
      </c>
      <c r="E3" s="113" t="n">
        <v>0.4286</v>
      </c>
      <c r="F3" s="58">
        <f>IF(D3&gt;0, D3*(1+E3), 0)</f>
        <v/>
      </c>
      <c r="G3" s="58">
        <f>F3-D3</f>
        <v/>
      </c>
    </row>
    <row r="4" ht="13.8" customHeight="1" s="59">
      <c r="A4" s="106" t="n"/>
      <c r="B4" s="106" t="n"/>
      <c r="C4" s="106" t="n"/>
      <c r="D4" s="58">
        <f>IF(B4&gt;0, B4*C4, 0)</f>
        <v/>
      </c>
      <c r="E4" s="113" t="n">
        <v>0.4286</v>
      </c>
      <c r="F4" s="58">
        <f>IF(D4&gt;0, D4*(1+E4), 0)</f>
        <v/>
      </c>
      <c r="G4" s="58">
        <f>F4-D4</f>
        <v/>
      </c>
    </row>
    <row r="5" ht="13.8" customHeight="1" s="59">
      <c r="A5" s="106" t="n"/>
      <c r="B5" s="106" t="n"/>
      <c r="C5" s="106" t="n"/>
      <c r="D5" s="58">
        <f>IF(B5&gt;0, B5*C5, 0)</f>
        <v/>
      </c>
      <c r="E5" s="113" t="n">
        <v>0.4286</v>
      </c>
      <c r="F5" s="58">
        <f>IF(D5&gt;0, D5*(1+E5), 0)</f>
        <v/>
      </c>
      <c r="G5" s="58">
        <f>F5-D5</f>
        <v/>
      </c>
    </row>
    <row r="6" ht="13.8" customHeight="1" s="59">
      <c r="A6" s="106" t="inlineStr">
        <is>
          <t>#Electrical</t>
        </is>
      </c>
      <c r="B6" s="106" t="n"/>
      <c r="C6" s="106" t="n"/>
      <c r="D6" s="58">
        <f>IF(B6&gt;0, B6*C6, 0)</f>
        <v/>
      </c>
      <c r="E6" s="113" t="n">
        <v>0.4286</v>
      </c>
      <c r="F6" s="58">
        <f>IF(D6&gt;0, D6*(1+E6), 0)</f>
        <v/>
      </c>
      <c r="G6" s="58">
        <f>F6-D6</f>
        <v/>
      </c>
    </row>
    <row r="7" ht="13.8" customHeight="1" s="59">
      <c r="A7" s="106" t="n"/>
      <c r="B7" s="106" t="n"/>
      <c r="C7" s="106" t="n"/>
      <c r="D7" s="58">
        <f>IF(B7&gt;0, B7*C7, 0)</f>
        <v/>
      </c>
      <c r="E7" s="113" t="n">
        <v>0.4286</v>
      </c>
      <c r="F7" s="58">
        <f>IF(D7&gt;0, D7*(1+E7), 0)</f>
        <v/>
      </c>
      <c r="G7" s="58">
        <f>F7-D7</f>
        <v/>
      </c>
    </row>
    <row r="8" ht="13.8" customHeight="1" s="59">
      <c r="A8" s="106" t="n"/>
      <c r="B8" s="106" t="n"/>
      <c r="C8" s="106" t="n"/>
      <c r="D8" s="58">
        <f>IF(B8&gt;0, B8*C8, 0)</f>
        <v/>
      </c>
      <c r="E8" s="113" t="n">
        <v>0.4286</v>
      </c>
      <c r="F8" s="58">
        <f>IF(D8&gt;0, D8*(1+E8), 0)</f>
        <v/>
      </c>
      <c r="G8" s="58">
        <f>F8-D8</f>
        <v/>
      </c>
    </row>
    <row r="9" ht="13.8" customHeight="1" s="59">
      <c r="A9" s="106" t="n"/>
      <c r="B9" s="106" t="n"/>
      <c r="C9" s="106" t="n"/>
      <c r="D9" s="58">
        <f>IF(B9&gt;0, B9*C9, 0)</f>
        <v/>
      </c>
      <c r="E9" s="113" t="n">
        <v>0.4286</v>
      </c>
      <c r="F9" s="58">
        <f>IF(D9&gt;0, D9*(1+E9), 0)</f>
        <v/>
      </c>
      <c r="G9" s="58">
        <f>F9-D9</f>
        <v/>
      </c>
    </row>
    <row r="10" ht="13.8" customHeight="1" s="59">
      <c r="A10" s="106" t="inlineStr">
        <is>
          <t>#Drywall</t>
        </is>
      </c>
      <c r="B10" s="106" t="n"/>
      <c r="C10" s="106" t="n"/>
      <c r="D10" s="58">
        <f>IF(B10&gt;0, B10*C10, 0)</f>
        <v/>
      </c>
      <c r="E10" s="113" t="n">
        <v>0.4286</v>
      </c>
      <c r="F10" s="58">
        <f>IF(D10&gt;0, D10*(1+E10), 0)</f>
        <v/>
      </c>
      <c r="G10" s="58">
        <f>F10-D10</f>
        <v/>
      </c>
    </row>
    <row r="11" ht="13.8" customHeight="1" s="59">
      <c r="A11" s="106" t="n"/>
      <c r="B11" s="106" t="n"/>
      <c r="C11" s="106" t="n"/>
      <c r="D11" s="58">
        <f>IF(B11&gt;0, B11*C11, 0)</f>
        <v/>
      </c>
      <c r="E11" s="113" t="n">
        <v>0.4286</v>
      </c>
      <c r="F11" s="58">
        <f>IF(D11&gt;0, D11*(1+E11), 0)</f>
        <v/>
      </c>
      <c r="G11" s="58">
        <f>F11-D11</f>
        <v/>
      </c>
    </row>
    <row r="12" ht="13.8" customHeight="1" s="59">
      <c r="A12" s="106" t="n"/>
      <c r="B12" s="106" t="n"/>
      <c r="C12" s="106" t="n"/>
      <c r="D12" s="58">
        <f>IF(B12&gt;0, B12*C12, 0)</f>
        <v/>
      </c>
      <c r="E12" s="113" t="n">
        <v>0.4286</v>
      </c>
      <c r="F12" s="58">
        <f>IF(D12&gt;0, D12*(1+E12), 0)</f>
        <v/>
      </c>
      <c r="G12" s="58">
        <f>F12-D12</f>
        <v/>
      </c>
    </row>
    <row r="13" ht="13.8" customHeight="1" s="59">
      <c r="A13" s="106" t="n"/>
      <c r="B13" s="106" t="n"/>
      <c r="C13" s="106" t="n"/>
      <c r="D13" s="58">
        <f>IF(B13&gt;0, B13*C13, 0)</f>
        <v/>
      </c>
      <c r="E13" s="113" t="n">
        <v>0.4286</v>
      </c>
      <c r="F13" s="58">
        <f>IF(D13&gt;0, D13*(1+E13), 0)</f>
        <v/>
      </c>
      <c r="G13" s="58">
        <f>F13-D13</f>
        <v/>
      </c>
    </row>
    <row r="14" ht="13.8" customHeight="1" s="59">
      <c r="A14" s="106" t="inlineStr">
        <is>
          <t>#Masonry</t>
        </is>
      </c>
      <c r="B14" s="106" t="n"/>
      <c r="C14" s="106" t="n"/>
      <c r="D14" s="58">
        <f>IF(B14&gt;0, B14*C14, 0)</f>
        <v/>
      </c>
      <c r="E14" s="113" t="n">
        <v>0.4286</v>
      </c>
      <c r="F14" s="58">
        <f>IF(D14&gt;0, D14*(1+E14), 0)</f>
        <v/>
      </c>
      <c r="G14" s="58">
        <f>F14-D14</f>
        <v/>
      </c>
    </row>
    <row r="15" ht="13.8" customHeight="1" s="59">
      <c r="A15" s="106" t="n"/>
      <c r="B15" s="106" t="n"/>
      <c r="C15" s="106" t="n"/>
      <c r="D15" s="58">
        <f>IF(B15&gt;0, B15*C15, 0)</f>
        <v/>
      </c>
      <c r="E15" s="113" t="n">
        <v>0.4286</v>
      </c>
      <c r="F15" s="58">
        <f>IF(D15&gt;0, D15*(1+E15), 0)</f>
        <v/>
      </c>
      <c r="G15" s="58">
        <f>F15-D15</f>
        <v/>
      </c>
    </row>
    <row r="16" ht="13.8" customHeight="1" s="59">
      <c r="A16" s="106" t="n"/>
      <c r="B16" s="106" t="n"/>
      <c r="C16" s="106" t="n"/>
      <c r="D16" s="58">
        <f>IF(B16&gt;0, B16*C16, 0)</f>
        <v/>
      </c>
      <c r="E16" s="113" t="n">
        <v>0.4286</v>
      </c>
      <c r="F16" s="58">
        <f>IF(D16&gt;0, D16*(1+E16), 0)</f>
        <v/>
      </c>
      <c r="G16" s="58">
        <f>F16-D16</f>
        <v/>
      </c>
    </row>
    <row r="17" ht="13.8" customHeight="1" s="59">
      <c r="A17" s="106" t="n"/>
      <c r="B17" s="106" t="n"/>
      <c r="C17" s="106" t="n"/>
      <c r="D17" s="58">
        <f>IF(B17&gt;0, B17*C17, 0)</f>
        <v/>
      </c>
      <c r="E17" s="113" t="n">
        <v>0.4286</v>
      </c>
      <c r="F17" s="58">
        <f>IF(D17&gt;0, D17*(1+E17), 0)</f>
        <v/>
      </c>
      <c r="G17" s="58">
        <f>F17-D17</f>
        <v/>
      </c>
    </row>
    <row r="18" ht="13.8" customHeight="1" s="59">
      <c r="A18" s="106" t="inlineStr">
        <is>
          <t>#Painting</t>
        </is>
      </c>
      <c r="B18" s="106" t="n"/>
      <c r="C18" s="106" t="n"/>
      <c r="D18" s="58">
        <f>IF(B18&gt;0, B18*C18, 0)</f>
        <v/>
      </c>
      <c r="E18" s="113" t="n">
        <v>0.4286</v>
      </c>
      <c r="F18" s="58">
        <f>IF(D18&gt;0, D18*(1+E18), 0)</f>
        <v/>
      </c>
      <c r="G18" s="58">
        <f>F18-D18</f>
        <v/>
      </c>
    </row>
    <row r="19" ht="13.8" customHeight="1" s="59">
      <c r="A19" s="106" t="n"/>
      <c r="B19" s="106" t="n"/>
      <c r="C19" s="106" t="n"/>
      <c r="D19" s="58">
        <f>IF(B19&gt;0, B19*C19, 0)</f>
        <v/>
      </c>
      <c r="E19" s="113" t="n">
        <v>0.4286</v>
      </c>
      <c r="F19" s="58">
        <f>IF(D19&gt;0, D19*(1+E19), 0)</f>
        <v/>
      </c>
      <c r="G19" s="58">
        <f>F19-D19</f>
        <v/>
      </c>
    </row>
    <row r="20" ht="13.8" customHeight="1" s="59">
      <c r="A20" s="106" t="n"/>
      <c r="B20" s="106" t="n"/>
      <c r="C20" s="106" t="n"/>
      <c r="D20" s="58">
        <f>IF(B20&gt;0, B20*C20, 0)</f>
        <v/>
      </c>
      <c r="E20" s="113" t="n">
        <v>0.4286</v>
      </c>
      <c r="F20" s="58">
        <f>IF(D20&gt;0, D20*(1+E20), 0)</f>
        <v/>
      </c>
      <c r="G20" s="58">
        <f>F20-D20</f>
        <v/>
      </c>
    </row>
    <row r="21" ht="13.8" customHeight="1" s="59">
      <c r="A21" s="106" t="n"/>
      <c r="B21" s="106" t="n"/>
      <c r="C21" s="106" t="n"/>
      <c r="D21" s="58">
        <f>IF(B21&gt;0, B21*C21, 0)</f>
        <v/>
      </c>
      <c r="E21" s="113" t="n">
        <v>0.4286</v>
      </c>
      <c r="F21" s="58">
        <f>IF(D21&gt;0, D21*(1+E21), 0)</f>
        <v/>
      </c>
      <c r="G21" s="58">
        <f>F21-D21</f>
        <v/>
      </c>
    </row>
    <row r="22" ht="13.8" customHeight="1" s="59">
      <c r="A22" s="106" t="n"/>
      <c r="B22" s="106" t="n"/>
      <c r="C22" s="106" t="n"/>
      <c r="D22" s="58">
        <f>IF(B22&gt;0, B22*C22, 0)</f>
        <v/>
      </c>
      <c r="E22" s="113" t="n">
        <v>0.4286</v>
      </c>
      <c r="F22" s="58">
        <f>IF(D22&gt;0, D22*(1+E22), 0)</f>
        <v/>
      </c>
      <c r="G22" s="58">
        <f>F22-D22</f>
        <v/>
      </c>
    </row>
    <row r="23" ht="13.8" customHeight="1" s="59">
      <c r="A23" s="106" t="n"/>
      <c r="B23" s="106" t="n"/>
      <c r="C23" s="106" t="n"/>
      <c r="D23" s="58">
        <f>IF(B23&gt;0, B23*C23, 0)</f>
        <v/>
      </c>
      <c r="E23" s="113" t="n">
        <v>0.4286</v>
      </c>
      <c r="F23" s="58">
        <f>IF(D23&gt;0, D23*(1+E23), 0)</f>
        <v/>
      </c>
      <c r="G23" s="58">
        <f>F23-D23</f>
        <v/>
      </c>
    </row>
    <row r="24" ht="13.8" customHeight="1" s="59"/>
    <row r="25" ht="13.8" customHeight="1" s="59">
      <c r="A25" s="58" t="inlineStr">
        <is>
          <t xml:space="preserve">Total Sub Cost </t>
        </is>
      </c>
      <c r="D25" s="58">
        <f>SUM(D2:D23)</f>
        <v/>
      </c>
      <c r="F25" s="58">
        <f>SUM(F2:F23)</f>
        <v/>
      </c>
      <c r="G25" s="58">
        <f>SUM(G2:G23)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aa8c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2026-06-04T00:24:21Z</dcterms:created>
  <dcterms:modified xsi:type="dcterms:W3CDTF">2026-10-06T22:52:57Z</dcterms:modified>
  <cp:revision>18</cp:revision>
</cp:coreProperties>
</file>