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Materials Estimate" sheetId="2" state="visible" r:id="rId4"/>
    <sheet name="Labor Estimate" sheetId="3" state="visible" r:id="rId5"/>
    <sheet name="Sub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<sst xmlns="http://schemas.openxmlformats.org/spreadsheetml/2006/main" count="64" uniqueCount="60">
  <si>
    <t xml:space="preserve">July's Quality Construction</t>
  </si>
  <si>
    <t xml:space="preserve">Master Project Estimate &amp; Profit Analysis Template</t>
  </si>
  <si>
    <t xml:space="preserve">Job Name:</t>
  </si>
  <si>
    <t xml:space="preserve">Date:</t>
  </si>
  <si>
    <t xml:space="preserve">Category</t>
  </si>
  <si>
    <t xml:space="preserve">Internal Cost (Us)</t>
  </si>
  <si>
    <t xml:space="preserve">Retail Price (Customer)</t>
  </si>
  <si>
    <t xml:space="preserve">Profit Difference</t>
  </si>
  <si>
    <t xml:space="preserve">Margin %</t>
  </si>
  <si>
    <t xml:space="preserve">Materials &amp; Fees Total (Incl. Tax)</t>
  </si>
  <si>
    <t xml:space="preserve">Labor Total (Standard Baseline)</t>
  </si>
  <si>
    <t xml:space="preserve">Subcontractor Total</t>
  </si>
  <si>
    <t xml:space="preserve">SUBTOTALS</t>
  </si>
  <si>
    <t xml:space="preserve">Sales Commission (6%)</t>
  </si>
  <si>
    <t xml:space="preserve">0.0%</t>
  </si>
  <si>
    <t xml:space="preserve">GRAND TOTALS</t>
  </si>
  <si>
    <t xml:space="preserve">PAYMENT SCHEDULE</t>
  </si>
  <si>
    <t xml:space="preserve">Total Contract Amount</t>
  </si>
  <si>
    <t xml:space="preserve">Due at Signing (1/2 Down)</t>
  </si>
  <si>
    <t xml:space="preserve">50%</t>
  </si>
  <si>
    <t xml:space="preserve">Due at Start of Job (1/4)</t>
  </si>
  <si>
    <t xml:space="preserve">25%</t>
  </si>
  <si>
    <t xml:space="preserve">Due Upon Completion (1/4)</t>
  </si>
  <si>
    <t xml:space="preserve">Payment Total (Verify)</t>
  </si>
  <si>
    <t xml:space="preserve">Materials Cost Breakdown &amp; Markup Template</t>
  </si>
  <si>
    <t xml:space="preserve">Tax Rate:</t>
  </si>
  <si>
    <t xml:space="preserve">Material Item</t>
  </si>
  <si>
    <t xml:space="preserve">Qty</t>
  </si>
  <si>
    <t xml:space="preserve">Unit Cost</t>
  </si>
  <si>
    <t xml:space="preserve">Our Cost (+6% Tax)</t>
  </si>
  <si>
    <t xml:space="preserve">Markup % / Fixed</t>
  </si>
  <si>
    <t xml:space="preserve">Customer Price</t>
  </si>
  <si>
    <t xml:space="preserve">Dump Fee</t>
  </si>
  <si>
    <t xml:space="preserve">Fixed Markup</t>
  </si>
  <si>
    <t xml:space="preserve">Total Materials &amp; Fees</t>
  </si>
  <si>
    <t xml:space="preserve">SHOWROOM MATERIALS (DIRECT VS RETAIL)</t>
  </si>
  <si>
    <t xml:space="preserve">Showroom Item Description</t>
  </si>
  <si>
    <t xml:space="preserve">Direct Cost/Unit</t>
  </si>
  <si>
    <t xml:space="preserve">Total Internal Cost (+6% Tax)</t>
  </si>
  <si>
    <t xml:space="preserve">Showroom Retail Price/Unit</t>
  </si>
  <si>
    <t xml:space="preserve">Profit ($)</t>
  </si>
  <si>
    <t xml:space="preserve">Total Showroom Profit</t>
  </si>
  <si>
    <t xml:space="preserve">Labor Rate &amp; Time Estimator Template</t>
  </si>
  <si>
    <t xml:space="preserve">Standard Cost/Hr:</t>
  </si>
  <si>
    <t xml:space="preserve">Standard Retail/Hr:</t>
  </si>
  <si>
    <t xml:space="preserve">Labor Task Description</t>
  </si>
  <si>
    <t xml:space="preserve">Hours / Qty</t>
  </si>
  <si>
    <t xml:space="preserve">Our Rate</t>
  </si>
  <si>
    <t xml:space="preserve">Our Total Cost</t>
  </si>
  <si>
    <t xml:space="preserve">Retail Rate</t>
  </si>
  <si>
    <t xml:space="preserve">Customer Total Price</t>
  </si>
  <si>
    <t xml:space="preserve">3-Man Crew Premium Upgrade (Lead Carpenter + 2 Helpers)</t>
  </si>
  <si>
    <t xml:space="preserve">Total Labor</t>
  </si>
  <si>
    <t xml:space="preserve">Subcontractor/Trade </t>
  </si>
  <si>
    <t xml:space="preserve">Our Direct Cost/Unit</t>
  </si>
  <si>
    <t xml:space="preserve">Total  Internal Cost</t>
  </si>
  <si>
    <t xml:space="preserve">Markup%</t>
  </si>
  <si>
    <t xml:space="preserve">Customer Retail Price</t>
  </si>
  <si>
    <t xml:space="preserve">Profit ($) </t>
  </si>
  <si>
    <t xml:space="preserve">Total Sub Cost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</si>
</sst>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0%"/>
    <numFmt numFmtId="168" formatCode="#,##0"/>
    <numFmt numFmtId="169" formatCode="0.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97D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1"/>
      <color rgb="FF888888"/>
      <name val="Calibri"/>
      <family val="0"/>
      <charset val="1"/>
    </font>
    <font>
      <b val="true"/>
      <i val="true"/>
      <sz val="9"/>
      <color rgb="FF888888"/>
      <name val="Calibri"/>
      <family val="0"/>
      <charset val="1"/>
    </font>
    <font>
      <b val="true"/>
      <sz val="12"/>
      <color rgb="FF1F497D"/>
      <name val="Calibri"/>
      <family val="0"/>
      <charset val="1"/>
    </font>
    <font>
      <sz val="11"/>
      <color rgb="FFFFFFFF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355269"/>
      </patternFill>
    </fill>
    <fill>
      <patternFill patternType="solid">
        <fgColor rgb="FFDCE6F1"/>
        <bgColor rgb="FFE0E0E0"/>
      </patternFill>
    </fill>
    <fill>
      <patternFill patternType="solid">
        <fgColor rgb="FFF2F5F9"/>
        <bgColor rgb="FFFFFFFF"/>
      </patternFill>
    </fill>
    <fill>
      <patternFill patternType="solid">
        <fgColor rgb="FF355269"/>
        <bgColor rgb="FF1F497D"/>
      </patternFill>
    </fill>
    <fill>
      <patternFill patternType="solid">
        <fgColor rgb="FFFFF2CC"/>
        <bgColor rgb="FFF2F5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0" fillId="4" borderId="1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0" fillId="4" borderId="1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0" fillId="4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0" fillId="0" borderId="1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0" fillId="0" borderId="1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1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0" fillId="6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9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552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2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G6" activeCellId="0" sqref="G6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3"/>
    <col collapsed="false" customWidth="false" hidden="false" outlineLevel="0" max="16384" min="6" style="1" width="8.45"/>
  </cols>
  <sheetData>
    <row r="2" customFormat="false" ht="17.35" hidden="false" customHeight="false" outlineLevel="0" collapsed="false">
      <c r="A2" s="2" t="s">
        <v>0</v>
      </c>
    </row>
    <row r="3" customFormat="false" ht="15" hidden="false" customHeight="false" outlineLevel="0" collapsed="false">
      <c r="A3" s="3" t="s">
        <v>1</v>
      </c>
    </row>
    <row r="5" customFormat="false" ht="15" hidden="false" customHeight="false" outlineLevel="0" collapsed="false">
      <c r="A5" s="4" t="s">
        <v>2</v>
      </c>
      <c r="D5" s="4" t="s">
        <v>3</v>
      </c>
    </row>
    <row r="7" customFormat="false" ht="15" hidden="false" customHeight="false" outlineLevel="0" collapsed="false">
      <c r="A7" s="5" t="s">
        <v>4</v>
      </c>
      <c r="B7" s="6" t="s">
        <v>5</v>
      </c>
      <c r="C7" s="6" t="s">
        <v>6</v>
      </c>
      <c r="D7" s="6" t="s">
        <v>7</v>
      </c>
      <c r="E7" s="6" t="s">
        <v>8</v>
      </c>
    </row>
    <row r="8" customFormat="false" ht="15" hidden="false" customHeight="false" outlineLevel="0" collapsed="false">
      <c r="A8" s="7" t="s">
        <v>9</v>
      </c>
      <c r="B8" s="8" t="n">
        <f aca="false">'Materials Estimate'!D31</f>
        <v>0</v>
      </c>
      <c r="C8" s="8" t="n">
        <f aca="false">'Materials Estimate'!F31</f>
        <v>0</v>
      </c>
      <c r="D8" s="8" t="n">
        <f aca="false">C8-B8</f>
        <v>0</v>
      </c>
      <c r="E8" s="9" t="n">
        <f aca="false">IF(C8&gt;0, D8/C8, 0)</f>
        <v>0</v>
      </c>
    </row>
    <row r="9" customFormat="false" ht="15" hidden="false" customHeight="false" outlineLevel="0" collapsed="false">
      <c r="A9" s="7" t="s">
        <v>10</v>
      </c>
      <c r="B9" s="8" t="n">
        <f aca="false">'Labor Estimate'!D37</f>
        <v>0</v>
      </c>
      <c r="C9" s="8" t="n">
        <f aca="false">'Labor Estimate'!F37</f>
        <v>0</v>
      </c>
      <c r="D9" s="8" t="n">
        <f aca="false">C9-B9</f>
        <v>0</v>
      </c>
      <c r="E9" s="9" t="n">
        <f aca="false">IF(C9&gt;0, D9/C9, 0)</f>
        <v>0</v>
      </c>
    </row>
    <row r="10" customFormat="false" ht="15" hidden="false" customHeight="false" outlineLevel="0" collapsed="false">
      <c r="A10" s="7" t="s">
        <v>11</v>
      </c>
      <c r="B10" s="8" t="n">
        <f aca="false">Subs!D25</f>
        <v>0</v>
      </c>
      <c r="C10" s="8" t="n">
        <f aca="false">Subs!F25</f>
        <v>0</v>
      </c>
      <c r="D10" s="8" t="n">
        <f aca="false">C10-B10</f>
        <v>0</v>
      </c>
      <c r="E10" s="9" t="n">
        <f aca="false">IF(C10&gt;0, D10/C10, 0)</f>
        <v>0</v>
      </c>
    </row>
    <row r="11" customFormat="false" ht="15" hidden="false" customHeight="false" outlineLevel="0" collapsed="false">
      <c r="A11" s="10" t="s">
        <v>12</v>
      </c>
      <c r="B11" s="11" t="n">
        <f aca="false">B8+B9+B10</f>
        <v>0</v>
      </c>
      <c r="C11" s="11" t="n">
        <f aca="false">C8+C9+C10</f>
        <v>0</v>
      </c>
      <c r="D11" s="11" t="n">
        <f aca="false">C11-B11</f>
        <v>0</v>
      </c>
      <c r="E11" s="12" t="n">
        <f aca="false">IF(C11&gt;0, D11/C11, 0)</f>
        <v>0</v>
      </c>
    </row>
    <row r="12" customFormat="false" ht="15" hidden="false" customHeight="false" outlineLevel="0" collapsed="false">
      <c r="A12" s="13" t="s">
        <v>13</v>
      </c>
      <c r="B12" s="8" t="n">
        <v>0</v>
      </c>
      <c r="C12" s="14" t="n">
        <f aca="false">C11*0.06</f>
        <v>0</v>
      </c>
      <c r="D12" s="15" t="n">
        <f aca="false">C12-B12</f>
        <v>0</v>
      </c>
      <c r="E12" s="16" t="s">
        <v>14</v>
      </c>
    </row>
    <row r="13" customFormat="false" ht="15" hidden="false" customHeight="false" outlineLevel="0" collapsed="false">
      <c r="A13" s="17" t="s">
        <v>15</v>
      </c>
      <c r="B13" s="18" t="n">
        <f aca="false">B11+B12</f>
        <v>0</v>
      </c>
      <c r="C13" s="18" t="n">
        <f aca="false">C11+C12</f>
        <v>0</v>
      </c>
      <c r="D13" s="18" t="n">
        <f aca="false">C13-B13</f>
        <v>0</v>
      </c>
      <c r="E13" s="19" t="n">
        <f aca="false">IF(C13&gt;0, D13/C13, 0)</f>
        <v>0</v>
      </c>
    </row>
    <row r="15" customFormat="false" ht="15" hidden="false" customHeight="false" outlineLevel="0" collapsed="false">
      <c r="A15" s="20" t="s">
        <v>16</v>
      </c>
      <c r="B15" s="21"/>
      <c r="C15" s="21"/>
      <c r="D15" s="21"/>
      <c r="E15" s="21"/>
    </row>
    <row r="16" customFormat="false" ht="15" hidden="false" customHeight="false" outlineLevel="0" collapsed="false">
      <c r="A16" s="22" t="s">
        <v>17</v>
      </c>
      <c r="B16" s="23"/>
      <c r="C16" s="24" t="n">
        <f aca="false">C13</f>
        <v>0</v>
      </c>
      <c r="D16" s="23"/>
      <c r="E16" s="23"/>
    </row>
    <row r="17" customFormat="false" ht="15" hidden="false" customHeight="false" outlineLevel="0" collapsed="false">
      <c r="A17" s="25" t="s">
        <v>18</v>
      </c>
      <c r="B17" s="26" t="s">
        <v>19</v>
      </c>
      <c r="C17" s="27" t="n">
        <f aca="false">C16*0.5</f>
        <v>0</v>
      </c>
      <c r="D17" s="28"/>
      <c r="E17" s="28"/>
    </row>
    <row r="18" customFormat="false" ht="15" hidden="false" customHeight="false" outlineLevel="0" collapsed="false">
      <c r="A18" s="25" t="s">
        <v>20</v>
      </c>
      <c r="B18" s="26" t="s">
        <v>21</v>
      </c>
      <c r="C18" s="27" t="n">
        <f aca="false">C16*0.25</f>
        <v>0</v>
      </c>
      <c r="D18" s="28"/>
      <c r="E18" s="28"/>
    </row>
    <row r="19" customFormat="false" ht="15" hidden="false" customHeight="false" outlineLevel="0" collapsed="false">
      <c r="A19" s="25" t="s">
        <v>22</v>
      </c>
      <c r="B19" s="26" t="s">
        <v>21</v>
      </c>
      <c r="C19" s="27" t="n">
        <f aca="false">C16*0.25</f>
        <v>0</v>
      </c>
      <c r="D19" s="28"/>
      <c r="E19" s="28"/>
    </row>
    <row r="20" customFormat="false" ht="15" hidden="false" customHeight="false" outlineLevel="0" collapsed="false">
      <c r="A20" s="29" t="s">
        <v>23</v>
      </c>
      <c r="B20" s="28"/>
      <c r="C20" s="30" t="n">
        <f aca="false">C17+C18+C19</f>
        <v>0</v>
      </c>
      <c r="D20" s="28"/>
      <c r="E20" s="28"/>
    </row>
  </sheetData>
  <sheetProtection sheet="true" password="aa8c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4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2" activeCellId="0" sqref="A1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  <col collapsed="false" customWidth="true" hidden="false" outlineLevel="0" max="7" min="7" style="1" width="12.28"/>
    <col collapsed="false" customWidth="false" hidden="false" outlineLevel="0" max="16384" min="8" style="1" width="8.45"/>
  </cols>
  <sheetData>
    <row r="2" customFormat="false" ht="15" hidden="false" customHeight="false" outlineLevel="0" collapsed="false">
      <c r="A2" s="31" t="s">
        <v>24</v>
      </c>
      <c r="E2" s="1" t="s">
        <v>25</v>
      </c>
      <c r="F2" s="32" t="n">
        <v>0.06</v>
      </c>
    </row>
    <row r="3" customFormat="false" ht="15" hidden="false" customHeight="false" outlineLevel="0" collapsed="false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</row>
    <row r="4" customFormat="false" ht="15" hidden="false" customHeight="false" outlineLevel="0" collapsed="false">
      <c r="A4" s="5"/>
      <c r="B4" s="6"/>
      <c r="C4" s="6"/>
      <c r="D4" s="6"/>
      <c r="E4" s="6"/>
      <c r="F4" s="6"/>
    </row>
    <row r="5" customFormat="false" ht="15" hidden="false" customHeight="false" outlineLevel="0" collapsed="false">
      <c r="A5" s="33"/>
      <c r="B5" s="34"/>
      <c r="C5" s="35"/>
      <c r="D5" s="36" t="n">
        <f aca="false">IF(COUNTA(B5:C5)=2, (B5*C5)*(1+$F$2), 0)</f>
        <v>0</v>
      </c>
      <c r="E5" s="37" t="n">
        <v>0.25</v>
      </c>
      <c r="F5" s="36" t="n">
        <f aca="false">IF(D5&gt;0, D5*(1+E5), 0)</f>
        <v>0</v>
      </c>
    </row>
    <row r="6" customFormat="false" ht="15" hidden="false" customHeight="false" outlineLevel="0" collapsed="false">
      <c r="A6" s="38"/>
      <c r="B6" s="39"/>
      <c r="C6" s="40"/>
      <c r="D6" s="8" t="n">
        <f aca="false">IF(COUNTA(B6:C6)=2, (B6*C6)*(1+$F$2), 0)</f>
        <v>0</v>
      </c>
      <c r="E6" s="41" t="n">
        <v>0.25</v>
      </c>
      <c r="F6" s="8" t="n">
        <f aca="false">IF(D6&gt;0, D6*(1+E6), 0)</f>
        <v>0</v>
      </c>
    </row>
    <row r="7" customFormat="false" ht="15" hidden="false" customHeight="false" outlineLevel="0" collapsed="false">
      <c r="A7" s="33"/>
      <c r="B7" s="34"/>
      <c r="C7" s="35"/>
      <c r="D7" s="36" t="n">
        <f aca="false">IF(COUNTA(B7:C7)=2, (B7*C7)*(1+$F$2), 0)</f>
        <v>0</v>
      </c>
      <c r="E7" s="37" t="n">
        <v>0.25</v>
      </c>
      <c r="F7" s="36" t="n">
        <f aca="false">IF(D7&gt;0, D7*(1+E7), 0)</f>
        <v>0</v>
      </c>
    </row>
    <row r="8" customFormat="false" ht="15" hidden="false" customHeight="false" outlineLevel="0" collapsed="false">
      <c r="A8" s="38"/>
      <c r="B8" s="39"/>
      <c r="C8" s="40"/>
      <c r="D8" s="8" t="n">
        <f aca="false">IF(COUNTA(B8:C8)=2, (B8*C8)*(1+$F$2), 0)</f>
        <v>0</v>
      </c>
      <c r="E8" s="41" t="n">
        <v>0.25</v>
      </c>
      <c r="F8" s="8" t="n">
        <f aca="false">IF(D8&gt;0, D8*(1+E8), 0)</f>
        <v>0</v>
      </c>
    </row>
    <row r="9" customFormat="false" ht="15" hidden="false" customHeight="false" outlineLevel="0" collapsed="false">
      <c r="A9" s="33"/>
      <c r="B9" s="34"/>
      <c r="C9" s="35"/>
      <c r="D9" s="36" t="n">
        <f aca="false">IF(COUNTA(B9:C9)=2, (B9*C9)*(1+$F$2), 0)</f>
        <v>0</v>
      </c>
      <c r="E9" s="37" t="n">
        <v>0.25</v>
      </c>
      <c r="F9" s="36" t="n">
        <f aca="false">IF(D9&gt;0, D9*(1+E9), 0)</f>
        <v>0</v>
      </c>
    </row>
    <row r="10" customFormat="false" ht="15" hidden="false" customHeight="false" outlineLevel="0" collapsed="false">
      <c r="A10" s="38"/>
      <c r="B10" s="39"/>
      <c r="C10" s="40"/>
      <c r="D10" s="8" t="n">
        <f aca="false">IF(COUNTA(B10:C10)=2, (B10*C10)*(1+$F$2), 0)</f>
        <v>0</v>
      </c>
      <c r="E10" s="41" t="n">
        <v>0.25</v>
      </c>
      <c r="F10" s="8" t="n">
        <f aca="false">IF(D10&gt;0, D10*(1+E10), 0)</f>
        <v>0</v>
      </c>
    </row>
    <row r="11" customFormat="false" ht="15" hidden="false" customHeight="false" outlineLevel="0" collapsed="false">
      <c r="A11" s="33"/>
      <c r="B11" s="34"/>
      <c r="C11" s="35"/>
      <c r="D11" s="36" t="n">
        <f aca="false">IF(COUNTA(B11:C11)=2, (B11*C11)*(1+$F$2), 0)</f>
        <v>0</v>
      </c>
      <c r="E11" s="37" t="n">
        <v>0.25</v>
      </c>
      <c r="F11" s="36" t="n">
        <f aca="false">IF(D11&gt;0, D11*(1+E11), 0)</f>
        <v>0</v>
      </c>
    </row>
    <row r="12" customFormat="false" ht="15" hidden="false" customHeight="false" outlineLevel="0" collapsed="false">
      <c r="A12" s="38"/>
      <c r="B12" s="39"/>
      <c r="C12" s="40"/>
      <c r="D12" s="8" t="n">
        <f aca="false">IF(COUNTA(B12:C12)=2, (B12*C12)*(1+$F$2), 0)</f>
        <v>0</v>
      </c>
      <c r="E12" s="41" t="n">
        <v>0.25</v>
      </c>
      <c r="F12" s="8" t="n">
        <f aca="false">IF(D12&gt;0, D12*(1+E12), 0)</f>
        <v>0</v>
      </c>
    </row>
    <row r="13" customFormat="false" ht="15" hidden="false" customHeight="false" outlineLevel="0" collapsed="false">
      <c r="A13" s="33"/>
      <c r="B13" s="34"/>
      <c r="C13" s="35"/>
      <c r="D13" s="36" t="n">
        <f aca="false">IF(COUNTA(B13:C13)=2, (B13*C13)*(1+$F$2), 0)</f>
        <v>0</v>
      </c>
      <c r="E13" s="37" t="n">
        <v>0.25</v>
      </c>
      <c r="F13" s="36" t="n">
        <f aca="false">IF(D13&gt;0, D13*(1+E13), 0)</f>
        <v>0</v>
      </c>
    </row>
    <row r="14" customFormat="false" ht="15" hidden="false" customHeight="false" outlineLevel="0" collapsed="false">
      <c r="A14" s="38"/>
      <c r="B14" s="39"/>
      <c r="C14" s="40"/>
      <c r="D14" s="8" t="n">
        <f aca="false">IF(COUNTA(B14:C14)=2, (B14*C14)*(1+$F$2), 0)</f>
        <v>0</v>
      </c>
      <c r="E14" s="41" t="n">
        <v>0.25</v>
      </c>
      <c r="F14" s="8" t="n">
        <f aca="false">IF(D14&gt;0, D14*(1+E14), 0)</f>
        <v>0</v>
      </c>
    </row>
    <row r="15" customFormat="false" ht="15" hidden="false" customHeight="false" outlineLevel="0" collapsed="false">
      <c r="A15" s="38"/>
      <c r="B15" s="39"/>
      <c r="C15" s="40"/>
      <c r="D15" s="36" t="n">
        <f aca="false">IF(COUNTA(B15:C15)=2, (B15*C15)*(1+$F$2), 0)</f>
        <v>0</v>
      </c>
      <c r="E15" s="37" t="n">
        <v>0.25</v>
      </c>
      <c r="F15" s="36" t="n">
        <f aca="false">IF(D15&gt;0, D15*(1+E15), 0)</f>
        <v>0</v>
      </c>
    </row>
    <row r="16" customFormat="false" ht="15" hidden="false" customHeight="false" outlineLevel="0" collapsed="false">
      <c r="A16" s="38"/>
      <c r="B16" s="39"/>
      <c r="C16" s="40"/>
      <c r="D16" s="36" t="n">
        <f aca="false">IF(COUNTA(B16:C16)=2, (B16*C16)*(1+$F$2), 0)</f>
        <v>0</v>
      </c>
      <c r="E16" s="37" t="n">
        <v>0.25</v>
      </c>
      <c r="F16" s="36" t="n">
        <f aca="false">IF(D16&gt;0, D16*(1+E16), 0)</f>
        <v>0</v>
      </c>
    </row>
    <row r="17" customFormat="false" ht="15" hidden="false" customHeight="false" outlineLevel="0" collapsed="false">
      <c r="A17" s="38"/>
      <c r="B17" s="39"/>
      <c r="C17" s="40"/>
      <c r="D17" s="36" t="n">
        <f aca="false">IF(COUNTA(B17:C17)=2, (B17*C17)*(1+$F$2), 0)</f>
        <v>0</v>
      </c>
      <c r="E17" s="37" t="n">
        <v>0.25</v>
      </c>
      <c r="F17" s="36" t="n">
        <f aca="false">IF(D17&gt;0, D17*(1+E17), 0)</f>
        <v>0</v>
      </c>
    </row>
    <row r="18" customFormat="false" ht="15" hidden="false" customHeight="false" outlineLevel="0" collapsed="false">
      <c r="A18" s="38"/>
      <c r="B18" s="39"/>
      <c r="C18" s="40"/>
      <c r="D18" s="36" t="n">
        <f aca="false">IF(COUNTA(B18:C18)=2, (B18*C18)*(1+$F$2), 0)</f>
        <v>0</v>
      </c>
      <c r="E18" s="37" t="n">
        <v>0.25</v>
      </c>
      <c r="F18" s="36" t="n">
        <f aca="false">IF(D18&gt;0, D18*(1+E18), 0)</f>
        <v>0</v>
      </c>
    </row>
    <row r="19" customFormat="false" ht="15" hidden="false" customHeight="false" outlineLevel="0" collapsed="false">
      <c r="A19" s="38"/>
      <c r="B19" s="39"/>
      <c r="C19" s="40"/>
      <c r="D19" s="36" t="n">
        <f aca="false">IF(COUNTA(B19:C19)=2, (B19*C19)*(1+$F$2), 0)</f>
        <v>0</v>
      </c>
      <c r="E19" s="37" t="n">
        <v>0.25</v>
      </c>
      <c r="F19" s="36" t="n">
        <f aca="false">IF(D19&gt;0, D19*(1+E19), 0)</f>
        <v>0</v>
      </c>
    </row>
    <row r="20" customFormat="false" ht="15" hidden="false" customHeight="false" outlineLevel="0" collapsed="false">
      <c r="A20" s="38"/>
      <c r="B20" s="39"/>
      <c r="C20" s="40"/>
      <c r="D20" s="36" t="n">
        <f aca="false">IF(COUNTA(B20:C20)=2, (B20*C20)*(1+$F$2), 0)</f>
        <v>0</v>
      </c>
      <c r="E20" s="37" t="n">
        <v>0.25</v>
      </c>
      <c r="F20" s="36" t="n">
        <f aca="false">IF(D20&gt;0, D20*(1+E20), 0)</f>
        <v>0</v>
      </c>
    </row>
    <row r="21" customFormat="false" ht="15" hidden="false" customHeight="false" outlineLevel="0" collapsed="false">
      <c r="A21" s="38"/>
      <c r="B21" s="39"/>
      <c r="C21" s="40"/>
      <c r="D21" s="36" t="n">
        <f aca="false">IF(COUNTA(B21:C21)=2, (B21*C21)*(1+$F$2), 0)</f>
        <v>0</v>
      </c>
      <c r="E21" s="37" t="n">
        <v>0.25</v>
      </c>
      <c r="F21" s="36" t="n">
        <f aca="false">IF(D21&gt;0, D21*(1+E21), 0)</f>
        <v>0</v>
      </c>
    </row>
    <row r="22" customFormat="false" ht="15" hidden="false" customHeight="false" outlineLevel="0" collapsed="false">
      <c r="A22" s="38"/>
      <c r="B22" s="39"/>
      <c r="C22" s="40"/>
      <c r="D22" s="36" t="n">
        <f aca="false">IF(COUNTA(B22:C22)=2, (B22*C22)*(1+$F$2), 0)</f>
        <v>0</v>
      </c>
      <c r="E22" s="37" t="n">
        <v>0.25</v>
      </c>
      <c r="F22" s="36" t="n">
        <f aca="false">IF(D22&gt;0, D22*(1+E22), 0)</f>
        <v>0</v>
      </c>
    </row>
    <row r="23" customFormat="false" ht="15" hidden="false" customHeight="false" outlineLevel="0" collapsed="false">
      <c r="A23" s="38"/>
      <c r="B23" s="39"/>
      <c r="C23" s="40"/>
      <c r="D23" s="36" t="n">
        <f aca="false">IF(COUNTA(B23:C23)=2, (B23*C23)*(1+$F$2), 0)</f>
        <v>0</v>
      </c>
      <c r="E23" s="37" t="n">
        <v>0.25</v>
      </c>
      <c r="F23" s="36" t="n">
        <f aca="false">IF(D23&gt;0, D23*(1+E23), 0)</f>
        <v>0</v>
      </c>
    </row>
    <row r="24" customFormat="false" ht="15" hidden="false" customHeight="false" outlineLevel="0" collapsed="false">
      <c r="A24" s="38"/>
      <c r="B24" s="39"/>
      <c r="C24" s="40"/>
      <c r="D24" s="36" t="n">
        <f aca="false">IF(COUNTA(B24:C24)=2, (B24*C24)*(1+$F$2), 0)</f>
        <v>0</v>
      </c>
      <c r="E24" s="37" t="n">
        <v>0.25</v>
      </c>
      <c r="F24" s="36" t="n">
        <f aca="false">IF(D24&gt;0, D24*(1+E24), 0)</f>
        <v>0</v>
      </c>
    </row>
    <row r="25" customFormat="false" ht="15" hidden="false" customHeight="false" outlineLevel="0" collapsed="false">
      <c r="A25" s="38"/>
      <c r="B25" s="39"/>
      <c r="C25" s="40"/>
      <c r="D25" s="36" t="n">
        <f aca="false">IF(COUNTA(B25:C25)=2, (B25*C25)*(1+$F$2), 0)</f>
        <v>0</v>
      </c>
      <c r="E25" s="37" t="n">
        <v>0.25</v>
      </c>
      <c r="F25" s="36" t="n">
        <f aca="false">IF(D25&gt;0, D25*(1+E25), 0)</f>
        <v>0</v>
      </c>
    </row>
    <row r="26" customFormat="false" ht="15" hidden="false" customHeight="false" outlineLevel="0" collapsed="false">
      <c r="A26" s="38"/>
      <c r="B26" s="39"/>
      <c r="C26" s="40"/>
      <c r="D26" s="36" t="n">
        <f aca="false">IF(COUNTA(B26:C26)=2, (B26*C26)*(1+$F$2), 0)</f>
        <v>0</v>
      </c>
      <c r="E26" s="37" t="n">
        <v>0.25</v>
      </c>
      <c r="F26" s="36" t="n">
        <f aca="false">IF(D26&gt;0, D26*(1+E26), 0)</f>
        <v>0</v>
      </c>
    </row>
    <row r="27" customFormat="false" ht="15" hidden="false" customHeight="false" outlineLevel="0" collapsed="false">
      <c r="A27" s="38"/>
      <c r="B27" s="39"/>
      <c r="C27" s="40"/>
      <c r="D27" s="36" t="n">
        <f aca="false">IF(COUNTA(B27:C27)=2, (B27*C27)*(1+$F$2), 0)</f>
        <v>0</v>
      </c>
      <c r="E27" s="37" t="n">
        <v>0.25</v>
      </c>
      <c r="F27" s="36" t="n">
        <f aca="false">IF(D27&gt;0, D27*(1+E27), 0)</f>
        <v>0</v>
      </c>
    </row>
    <row r="28" customFormat="false" ht="15" hidden="false" customHeight="false" outlineLevel="0" collapsed="false">
      <c r="A28" s="38"/>
      <c r="B28" s="39"/>
      <c r="C28" s="40"/>
      <c r="D28" s="36" t="n">
        <f aca="false">IF(COUNTA(B28:C28)=2, (B28*C28)*(1+$F$2), 0)</f>
        <v>0</v>
      </c>
      <c r="E28" s="37" t="n">
        <v>0.25</v>
      </c>
      <c r="F28" s="36" t="n">
        <f aca="false">IF(D28&gt;0, D28*(1+E28), 0)</f>
        <v>0</v>
      </c>
    </row>
    <row r="29" customFormat="false" ht="15" hidden="false" customHeight="false" outlineLevel="0" collapsed="false">
      <c r="A29" s="38"/>
      <c r="B29" s="39"/>
      <c r="C29" s="40"/>
      <c r="D29" s="36" t="n">
        <f aca="false">IF(COUNTA(B29:C29)=2, (B29*C29)*(1+$F$2), 0)</f>
        <v>0</v>
      </c>
      <c r="E29" s="37" t="n">
        <v>0.25</v>
      </c>
      <c r="F29" s="36" t="n">
        <f aca="false">IF(D29&gt;0, D29*(1+E29), 0)</f>
        <v>0</v>
      </c>
    </row>
    <row r="30" customFormat="false" ht="15" hidden="false" customHeight="false" outlineLevel="0" collapsed="false">
      <c r="A30" s="42" t="s">
        <v>32</v>
      </c>
      <c r="B30" s="39"/>
      <c r="C30" s="40"/>
      <c r="D30" s="8" t="n">
        <f aca="false">IF(B30&gt;0, B30*300, 0)</f>
        <v>0</v>
      </c>
      <c r="E30" s="43" t="s">
        <v>33</v>
      </c>
      <c r="F30" s="8" t="n">
        <f aca="false">IF(B30&gt;0, B30*500, 0)</f>
        <v>0</v>
      </c>
    </row>
    <row r="31" customFormat="false" ht="15" hidden="false" customHeight="false" outlineLevel="0" collapsed="false">
      <c r="A31" s="44" t="s">
        <v>34</v>
      </c>
      <c r="B31" s="45"/>
      <c r="C31" s="45"/>
      <c r="D31" s="46" t="n">
        <f aca="false">SUM(D5:D30)+SUM(D36:D45)</f>
        <v>0</v>
      </c>
      <c r="E31" s="45"/>
      <c r="F31" s="46" t="n">
        <f aca="false">SUM(F5:F30)+SUM(F36:F45)</f>
        <v>0</v>
      </c>
    </row>
    <row r="34" customFormat="false" ht="15" hidden="false" customHeight="false" outlineLevel="0" collapsed="false">
      <c r="A34" s="47" t="s">
        <v>35</v>
      </c>
      <c r="B34" s="47"/>
      <c r="C34" s="47"/>
      <c r="D34" s="47"/>
      <c r="E34" s="47"/>
      <c r="F34" s="47"/>
      <c r="G34" s="47"/>
    </row>
    <row r="35" customFormat="false" ht="15" hidden="false" customHeight="false" outlineLevel="0" collapsed="false">
      <c r="A35" s="1" t="s">
        <v>36</v>
      </c>
      <c r="B35" s="1" t="s">
        <v>27</v>
      </c>
      <c r="C35" s="1" t="s">
        <v>37</v>
      </c>
      <c r="D35" s="1" t="s">
        <v>38</v>
      </c>
      <c r="E35" s="1" t="s">
        <v>39</v>
      </c>
      <c r="F35" s="1" t="s">
        <v>31</v>
      </c>
      <c r="G35" s="1" t="s">
        <v>40</v>
      </c>
    </row>
    <row r="36" customFormat="false" ht="15" hidden="false" customHeight="false" outlineLevel="0" collapsed="false">
      <c r="A36" s="48"/>
      <c r="B36" s="48"/>
      <c r="C36" s="48"/>
      <c r="D36" s="1" t="n">
        <f aca="false">IF(B36&gt;0, B36*C36*1.06, 0)</f>
        <v>0</v>
      </c>
      <c r="E36" s="48"/>
      <c r="F36" s="1" t="n">
        <f aca="false">IF(B36&gt;0, B36*E36, 0)</f>
        <v>0</v>
      </c>
      <c r="G36" s="1" t="n">
        <f aca="false">F36-D36</f>
        <v>0</v>
      </c>
    </row>
    <row r="37" customFormat="false" ht="15" hidden="false" customHeight="false" outlineLevel="0" collapsed="false">
      <c r="A37" s="48"/>
      <c r="B37" s="48"/>
      <c r="C37" s="48"/>
      <c r="D37" s="1" t="n">
        <f aca="false">IF(B37&gt;0, B37*C37*1.06, 0)</f>
        <v>0</v>
      </c>
      <c r="E37" s="48"/>
      <c r="F37" s="1" t="n">
        <f aca="false">IF(B37&gt;0, B37*E37, 0)</f>
        <v>0</v>
      </c>
      <c r="G37" s="1" t="n">
        <f aca="false">F37-D37</f>
        <v>0</v>
      </c>
    </row>
    <row r="38" customFormat="false" ht="15" hidden="false" customHeight="false" outlineLevel="0" collapsed="false">
      <c r="A38" s="48"/>
      <c r="B38" s="48"/>
      <c r="C38" s="48"/>
      <c r="D38" s="1" t="n">
        <f aca="false">IF(B38&gt;0, B38*C38*1.06, 0)</f>
        <v>0</v>
      </c>
      <c r="E38" s="48"/>
      <c r="F38" s="1" t="n">
        <f aca="false">IF(B38&gt;0, B38*E38, 0)</f>
        <v>0</v>
      </c>
      <c r="G38" s="1" t="n">
        <f aca="false">F38-D38</f>
        <v>0</v>
      </c>
    </row>
    <row r="39" customFormat="false" ht="15" hidden="false" customHeight="false" outlineLevel="0" collapsed="false">
      <c r="A39" s="48"/>
      <c r="B39" s="48"/>
      <c r="C39" s="48"/>
      <c r="D39" s="1" t="n">
        <f aca="false">IF(B39&gt;0, B39*C39*1.06, 0)</f>
        <v>0</v>
      </c>
      <c r="E39" s="48"/>
      <c r="F39" s="1" t="n">
        <f aca="false">IF(B39&gt;0, B39*E39, 0)</f>
        <v>0</v>
      </c>
      <c r="G39" s="1" t="n">
        <f aca="false">F39-D39</f>
        <v>0</v>
      </c>
    </row>
    <row r="40" customFormat="false" ht="15" hidden="false" customHeight="false" outlineLevel="0" collapsed="false">
      <c r="A40" s="48"/>
      <c r="B40" s="48"/>
      <c r="C40" s="48"/>
      <c r="D40" s="1" t="n">
        <f aca="false">IF(B40&gt;0, B40*C40*1.06, 0)</f>
        <v>0</v>
      </c>
      <c r="E40" s="48"/>
      <c r="F40" s="1" t="n">
        <f aca="false">IF(B40&gt;0, B40*E40, 0)</f>
        <v>0</v>
      </c>
      <c r="G40" s="1" t="n">
        <f aca="false">F40-D40</f>
        <v>0</v>
      </c>
    </row>
    <row r="41" customFormat="false" ht="15" hidden="false" customHeight="false" outlineLevel="0" collapsed="false">
      <c r="A41" s="48"/>
      <c r="B41" s="48"/>
      <c r="C41" s="48"/>
      <c r="D41" s="1" t="n">
        <f aca="false">IF(B41&gt;0, B41*C41*1.06, 0)</f>
        <v>0</v>
      </c>
      <c r="E41" s="48"/>
      <c r="F41" s="1" t="n">
        <f aca="false">IF(B41&gt;0, B41*E41, 0)</f>
        <v>0</v>
      </c>
      <c r="G41" s="1" t="n">
        <f aca="false">F41-D41</f>
        <v>0</v>
      </c>
    </row>
    <row r="42" customFormat="false" ht="15" hidden="false" customHeight="false" outlineLevel="0" collapsed="false">
      <c r="A42" s="48"/>
      <c r="B42" s="48"/>
      <c r="C42" s="48"/>
      <c r="D42" s="1" t="n">
        <f aca="false">IF(B42&gt;0, B42*C42*1.06, 0)</f>
        <v>0</v>
      </c>
      <c r="E42" s="48"/>
      <c r="F42" s="1" t="n">
        <f aca="false">IF(B42&gt;0, B42*E42, 0)</f>
        <v>0</v>
      </c>
      <c r="G42" s="1" t="n">
        <f aca="false">F42-D42</f>
        <v>0</v>
      </c>
    </row>
    <row r="43" customFormat="false" ht="15" hidden="false" customHeight="false" outlineLevel="0" collapsed="false">
      <c r="A43" s="48"/>
      <c r="B43" s="48"/>
      <c r="C43" s="48"/>
      <c r="D43" s="1" t="n">
        <f aca="false">IF(B43&gt;0, B43*C43*1.06, 0)</f>
        <v>0</v>
      </c>
      <c r="E43" s="48"/>
      <c r="F43" s="1" t="n">
        <f aca="false">IF(B43&gt;0, B43*E43, 0)</f>
        <v>0</v>
      </c>
      <c r="G43" s="1" t="n">
        <f aca="false">F43-D43</f>
        <v>0</v>
      </c>
    </row>
    <row r="44" customFormat="false" ht="15" hidden="false" customHeight="false" outlineLevel="0" collapsed="false">
      <c r="A44" s="48"/>
      <c r="B44" s="48"/>
      <c r="C44" s="48"/>
      <c r="D44" s="1" t="n">
        <f aca="false">IF(B44&gt;0, B44*C44*1.06, 0)</f>
        <v>0</v>
      </c>
      <c r="E44" s="48"/>
      <c r="F44" s="1" t="n">
        <f aca="false">IF(B44&gt;0, B44*E44, 0)</f>
        <v>0</v>
      </c>
      <c r="G44" s="1" t="n">
        <f aca="false">F44-D44</f>
        <v>0</v>
      </c>
    </row>
    <row r="45" customFormat="false" ht="15" hidden="false" customHeight="false" outlineLevel="0" collapsed="false">
      <c r="A45" s="48"/>
      <c r="B45" s="48"/>
      <c r="C45" s="48"/>
      <c r="D45" s="1" t="n">
        <f aca="false">IF(B45&gt;0, B45*C45*1.06, 0)</f>
        <v>0</v>
      </c>
      <c r="E45" s="48"/>
      <c r="F45" s="1" t="n">
        <f aca="false">IF(B45&gt;0, B45*E45, 0)</f>
        <v>0</v>
      </c>
      <c r="G45" s="1" t="n">
        <f aca="false">F45-D45</f>
        <v>0</v>
      </c>
    </row>
    <row r="46" customFormat="false" ht="15" hidden="false" customHeight="false" outlineLevel="0" collapsed="false">
      <c r="A46" s="44" t="s">
        <v>41</v>
      </c>
      <c r="B46" s="45"/>
      <c r="C46" s="45"/>
      <c r="D46" s="46" t="n">
        <f aca="false">SUM(D36:D45)</f>
        <v>0</v>
      </c>
      <c r="E46" s="45"/>
      <c r="F46" s="46" t="n">
        <f aca="false">SUM(F36:F45)</f>
        <v>0</v>
      </c>
      <c r="G46" s="1" t="n">
        <f aca="false">SUM(G36:G45)</f>
        <v>0</v>
      </c>
    </row>
  </sheetData>
  <sheetProtection sheet="true" password="aa8c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3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30" activeCellId="0" sqref="B30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3"/>
    <col collapsed="false" customWidth="false" hidden="false" outlineLevel="0" max="16384" min="7" style="1" width="8.45"/>
  </cols>
  <sheetData>
    <row r="2" customFormat="false" ht="15" hidden="false" customHeight="false" outlineLevel="0" collapsed="false">
      <c r="A2" s="31" t="s">
        <v>42</v>
      </c>
      <c r="E2" s="1" t="s">
        <v>43</v>
      </c>
      <c r="F2" s="49" t="n">
        <v>35</v>
      </c>
    </row>
    <row r="3" customFormat="false" ht="15" hidden="false" customHeight="false" outlineLevel="0" collapsed="false">
      <c r="E3" s="1" t="s">
        <v>44</v>
      </c>
      <c r="F3" s="49" t="n">
        <v>75</v>
      </c>
    </row>
    <row r="4" customFormat="false" ht="15" hidden="false" customHeight="false" outlineLevel="0" collapsed="false">
      <c r="A4" s="5" t="s">
        <v>45</v>
      </c>
      <c r="B4" s="6" t="s">
        <v>46</v>
      </c>
      <c r="C4" s="6" t="s">
        <v>47</v>
      </c>
      <c r="D4" s="6" t="s">
        <v>48</v>
      </c>
      <c r="E4" s="6" t="s">
        <v>49</v>
      </c>
      <c r="F4" s="6" t="s">
        <v>50</v>
      </c>
    </row>
    <row r="5" customFormat="false" ht="15" hidden="false" customHeight="false" outlineLevel="0" collapsed="false">
      <c r="A5" s="33"/>
      <c r="B5" s="34"/>
      <c r="C5" s="50" t="n">
        <f aca="false">$F$2</f>
        <v>35</v>
      </c>
      <c r="D5" s="36" t="n">
        <f aca="false">IF(B5&gt;0, B5*C5, 0)</f>
        <v>0</v>
      </c>
      <c r="E5" s="36" t="n">
        <f aca="false">$F$3</f>
        <v>75</v>
      </c>
      <c r="F5" s="36" t="n">
        <f aca="false">IF(B5&gt;0, B5*E5, 0)</f>
        <v>0</v>
      </c>
    </row>
    <row r="6" customFormat="false" ht="15" hidden="false" customHeight="false" outlineLevel="0" collapsed="false">
      <c r="A6" s="51"/>
      <c r="B6" s="39"/>
      <c r="C6" s="8" t="n">
        <f aca="false">$F$2</f>
        <v>35</v>
      </c>
      <c r="D6" s="8" t="n">
        <f aca="false">IF(B6&gt;0, B6*C6, 0)</f>
        <v>0</v>
      </c>
      <c r="E6" s="8" t="n">
        <f aca="false">$F$3</f>
        <v>75</v>
      </c>
      <c r="F6" s="8" t="n">
        <f aca="false">IF(B6&gt;0, B6*E6, 0)</f>
        <v>0</v>
      </c>
    </row>
    <row r="7" customFormat="false" ht="15" hidden="false" customHeight="false" outlineLevel="0" collapsed="false">
      <c r="A7" s="33"/>
      <c r="B7" s="34"/>
      <c r="C7" s="36" t="n">
        <f aca="false">$F$2</f>
        <v>35</v>
      </c>
      <c r="D7" s="36" t="n">
        <f aca="false">IF(B7&gt;0, B7*C7, 0)</f>
        <v>0</v>
      </c>
      <c r="E7" s="36" t="n">
        <f aca="false">$F$3</f>
        <v>75</v>
      </c>
      <c r="F7" s="36" t="n">
        <f aca="false">IF(B7&gt;0, B7*E7, 0)</f>
        <v>0</v>
      </c>
    </row>
    <row r="8" customFormat="false" ht="15" hidden="false" customHeight="false" outlineLevel="0" collapsed="false">
      <c r="A8" s="51"/>
      <c r="B8" s="39"/>
      <c r="C8" s="8" t="n">
        <f aca="false">$F$2</f>
        <v>35</v>
      </c>
      <c r="D8" s="8" t="n">
        <f aca="false">IF(B8&gt;0, B8*C8, 0)</f>
        <v>0</v>
      </c>
      <c r="E8" s="8" t="n">
        <f aca="false">$F$3</f>
        <v>75</v>
      </c>
      <c r="F8" s="8" t="n">
        <f aca="false">IF(B8&gt;0, B8*E8, 0)</f>
        <v>0</v>
      </c>
    </row>
    <row r="9" customFormat="false" ht="15" hidden="false" customHeight="false" outlineLevel="0" collapsed="false">
      <c r="A9" s="33"/>
      <c r="B9" s="34"/>
      <c r="C9" s="36" t="n">
        <f aca="false">$F$2</f>
        <v>35</v>
      </c>
      <c r="D9" s="36" t="n">
        <f aca="false">IF(B9&gt;0, B9*C9, 0)</f>
        <v>0</v>
      </c>
      <c r="E9" s="36" t="n">
        <f aca="false">$F$3</f>
        <v>75</v>
      </c>
      <c r="F9" s="36" t="n">
        <f aca="false">IF(B9&gt;0, B9*E9, 0)</f>
        <v>0</v>
      </c>
    </row>
    <row r="10" customFormat="false" ht="15" hidden="false" customHeight="false" outlineLevel="0" collapsed="false">
      <c r="A10" s="51"/>
      <c r="B10" s="39"/>
      <c r="C10" s="8" t="n">
        <f aca="false">$F$2</f>
        <v>35</v>
      </c>
      <c r="D10" s="8" t="n">
        <f aca="false">IF(B10&gt;0, B10*C10, 0)</f>
        <v>0</v>
      </c>
      <c r="E10" s="8" t="n">
        <f aca="false">$F$3</f>
        <v>75</v>
      </c>
      <c r="F10" s="8" t="n">
        <f aca="false">IF(B10&gt;0, B10*E10, 0)</f>
        <v>0</v>
      </c>
    </row>
    <row r="11" customFormat="false" ht="15" hidden="false" customHeight="false" outlineLevel="0" collapsed="false">
      <c r="A11" s="33"/>
      <c r="B11" s="34"/>
      <c r="C11" s="36" t="n">
        <f aca="false">$F$2</f>
        <v>35</v>
      </c>
      <c r="D11" s="36" t="n">
        <f aca="false">IF(B11&gt;0, B11*C11, 0)</f>
        <v>0</v>
      </c>
      <c r="E11" s="36" t="n">
        <f aca="false">$F$3</f>
        <v>75</v>
      </c>
      <c r="F11" s="36" t="n">
        <f aca="false">IF(B11&gt;0, B11*E11, 0)</f>
        <v>0</v>
      </c>
    </row>
    <row r="12" customFormat="false" ht="15" hidden="false" customHeight="false" outlineLevel="0" collapsed="false">
      <c r="A12" s="51"/>
      <c r="B12" s="39"/>
      <c r="C12" s="8" t="n">
        <f aca="false">$F$2</f>
        <v>35</v>
      </c>
      <c r="D12" s="8" t="n">
        <f aca="false">IF(B12&gt;0, B12*C12, 0)</f>
        <v>0</v>
      </c>
      <c r="E12" s="8" t="n">
        <f aca="false">$F$3</f>
        <v>75</v>
      </c>
      <c r="F12" s="8" t="n">
        <f aca="false">IF(B12&gt;0, B12*E12, 0)</f>
        <v>0</v>
      </c>
    </row>
    <row r="13" customFormat="false" ht="15" hidden="false" customHeight="false" outlineLevel="0" collapsed="false">
      <c r="A13" s="33"/>
      <c r="B13" s="34"/>
      <c r="C13" s="36" t="n">
        <f aca="false">$F$2</f>
        <v>35</v>
      </c>
      <c r="D13" s="36" t="n">
        <f aca="false">IF(B13&gt;0, B13*C13, 0)</f>
        <v>0</v>
      </c>
      <c r="E13" s="36" t="n">
        <f aca="false">$F$3</f>
        <v>75</v>
      </c>
      <c r="F13" s="36" t="n">
        <f aca="false">IF(B13&gt;0, B13*E13, 0)</f>
        <v>0</v>
      </c>
    </row>
    <row r="14" customFormat="false" ht="15" hidden="false" customHeight="false" outlineLevel="0" collapsed="false">
      <c r="A14" s="33"/>
      <c r="B14" s="34"/>
      <c r="C14" s="36" t="n">
        <f aca="false">$F$2</f>
        <v>35</v>
      </c>
      <c r="D14" s="36" t="n">
        <f aca="false">IF(B14&gt;0, B14*C14, 0)</f>
        <v>0</v>
      </c>
      <c r="E14" s="36" t="n">
        <f aca="false">$F$3</f>
        <v>75</v>
      </c>
      <c r="F14" s="36" t="n">
        <f aca="false">IF(B14&gt;0, B14*E14, 0)</f>
        <v>0</v>
      </c>
    </row>
    <row r="15" customFormat="false" ht="15" hidden="false" customHeight="false" outlineLevel="0" collapsed="false">
      <c r="A15" s="33"/>
      <c r="B15" s="34"/>
      <c r="C15" s="36" t="n">
        <f aca="false">$F$2</f>
        <v>35</v>
      </c>
      <c r="D15" s="36" t="n">
        <f aca="false">IF(B15&gt;0, B15*C15, 0)</f>
        <v>0</v>
      </c>
      <c r="E15" s="36" t="n">
        <f aca="false">$F$3</f>
        <v>75</v>
      </c>
      <c r="F15" s="36" t="n">
        <f aca="false">IF(B15&gt;0, B15*E15, 0)</f>
        <v>0</v>
      </c>
    </row>
    <row r="16" customFormat="false" ht="15" hidden="false" customHeight="false" outlineLevel="0" collapsed="false">
      <c r="A16" s="33"/>
      <c r="B16" s="34"/>
      <c r="C16" s="36" t="n">
        <f aca="false">$F$2</f>
        <v>35</v>
      </c>
      <c r="D16" s="36" t="n">
        <f aca="false">IF(B16&gt;0, B16*C16, 0)</f>
        <v>0</v>
      </c>
      <c r="E16" s="36" t="n">
        <f aca="false">$F$3</f>
        <v>75</v>
      </c>
      <c r="F16" s="36" t="n">
        <f aca="false">IF(B16&gt;0, B16*E16, 0)</f>
        <v>0</v>
      </c>
    </row>
    <row r="17" customFormat="false" ht="15" hidden="false" customHeight="false" outlineLevel="0" collapsed="false">
      <c r="A17" s="33"/>
      <c r="B17" s="34"/>
      <c r="C17" s="36" t="n">
        <f aca="false">$F$2</f>
        <v>35</v>
      </c>
      <c r="D17" s="36" t="n">
        <f aca="false">IF(B17&gt;0, B17*C17, 0)</f>
        <v>0</v>
      </c>
      <c r="E17" s="36" t="n">
        <f aca="false">$F$3</f>
        <v>75</v>
      </c>
      <c r="F17" s="36" t="n">
        <f aca="false">IF(B17&gt;0, B17*E17, 0)</f>
        <v>0</v>
      </c>
    </row>
    <row r="18" customFormat="false" ht="15" hidden="false" customHeight="false" outlineLevel="0" collapsed="false">
      <c r="A18" s="33"/>
      <c r="B18" s="34"/>
      <c r="C18" s="36" t="n">
        <f aca="false">$F$2</f>
        <v>35</v>
      </c>
      <c r="D18" s="36" t="n">
        <f aca="false">IF(B18&gt;0, B18*C18, 0)</f>
        <v>0</v>
      </c>
      <c r="E18" s="36" t="n">
        <f aca="false">$F$3</f>
        <v>75</v>
      </c>
      <c r="F18" s="36" t="n">
        <f aca="false">IF(B18&gt;0, B18*E18, 0)</f>
        <v>0</v>
      </c>
    </row>
    <row r="19" customFormat="false" ht="15" hidden="false" customHeight="false" outlineLevel="0" collapsed="false">
      <c r="A19" s="33"/>
      <c r="B19" s="34"/>
      <c r="C19" s="36" t="n">
        <f aca="false">$F$2</f>
        <v>35</v>
      </c>
      <c r="D19" s="36" t="n">
        <f aca="false">IF(B19&gt;0, B19*C19, 0)</f>
        <v>0</v>
      </c>
      <c r="E19" s="36" t="n">
        <f aca="false">$F$3</f>
        <v>75</v>
      </c>
      <c r="F19" s="36" t="n">
        <f aca="false">IF(B19&gt;0, B19*E19, 0)</f>
        <v>0</v>
      </c>
    </row>
    <row r="20" customFormat="false" ht="15" hidden="false" customHeight="false" outlineLevel="0" collapsed="false">
      <c r="A20" s="33"/>
      <c r="B20" s="34"/>
      <c r="C20" s="36" t="n">
        <f aca="false">$F$2</f>
        <v>35</v>
      </c>
      <c r="D20" s="36" t="n">
        <f aca="false">IF(B20&gt;0, B20*C20, 0)</f>
        <v>0</v>
      </c>
      <c r="E20" s="36" t="n">
        <f aca="false">$F$3</f>
        <v>75</v>
      </c>
      <c r="F20" s="36" t="n">
        <f aca="false">IF(B20&gt;0, B20*E20, 0)</f>
        <v>0</v>
      </c>
    </row>
    <row r="21" customFormat="false" ht="15" hidden="false" customHeight="false" outlineLevel="0" collapsed="false">
      <c r="A21" s="33"/>
      <c r="B21" s="34"/>
      <c r="C21" s="36" t="n">
        <f aca="false">$F$2</f>
        <v>35</v>
      </c>
      <c r="D21" s="36" t="n">
        <f aca="false">IF(B21&gt;0, B21*C21, 0)</f>
        <v>0</v>
      </c>
      <c r="E21" s="36" t="n">
        <f aca="false">$F$3</f>
        <v>75</v>
      </c>
      <c r="F21" s="36" t="n">
        <f aca="false">IF(B21&gt;0, B21*E21, 0)</f>
        <v>0</v>
      </c>
    </row>
    <row r="22" customFormat="false" ht="15" hidden="false" customHeight="false" outlineLevel="0" collapsed="false">
      <c r="A22" s="33"/>
      <c r="B22" s="34"/>
      <c r="C22" s="36" t="n">
        <f aca="false">$F$2</f>
        <v>35</v>
      </c>
      <c r="D22" s="36" t="n">
        <f aca="false">IF(B22&gt;0, B22*C22, 0)</f>
        <v>0</v>
      </c>
      <c r="E22" s="36" t="n">
        <f aca="false">$F$3</f>
        <v>75</v>
      </c>
      <c r="F22" s="36" t="n">
        <f aca="false">IF(B22&gt;0, B22*E22, 0)</f>
        <v>0</v>
      </c>
    </row>
    <row r="23" customFormat="false" ht="15" hidden="false" customHeight="false" outlineLevel="0" collapsed="false">
      <c r="A23" s="33"/>
      <c r="B23" s="34"/>
      <c r="C23" s="36" t="n">
        <f aca="false">$F$2</f>
        <v>35</v>
      </c>
      <c r="D23" s="36" t="n">
        <f aca="false">IF(B23&gt;0, B23*C23, 0)</f>
        <v>0</v>
      </c>
      <c r="E23" s="36" t="n">
        <f aca="false">$F$3</f>
        <v>75</v>
      </c>
      <c r="F23" s="36" t="n">
        <f aca="false">IF(B23&gt;0, B23*E23, 0)</f>
        <v>0</v>
      </c>
    </row>
    <row r="24" customFormat="false" ht="15" hidden="false" customHeight="false" outlineLevel="0" collapsed="false">
      <c r="A24" s="33"/>
      <c r="B24" s="34"/>
      <c r="C24" s="36" t="n">
        <f aca="false">$F$2</f>
        <v>35</v>
      </c>
      <c r="D24" s="36" t="n">
        <f aca="false">IF(B24&gt;0, B24*C24, 0)</f>
        <v>0</v>
      </c>
      <c r="E24" s="36" t="n">
        <f aca="false">$F$3</f>
        <v>75</v>
      </c>
      <c r="F24" s="36" t="n">
        <f aca="false">IF(B24&gt;0, B24*E24, 0)</f>
        <v>0</v>
      </c>
    </row>
    <row r="25" customFormat="false" ht="15" hidden="false" customHeight="false" outlineLevel="0" collapsed="false">
      <c r="A25" s="33"/>
      <c r="B25" s="34"/>
      <c r="C25" s="36" t="n">
        <f aca="false">$F$2</f>
        <v>35</v>
      </c>
      <c r="D25" s="36" t="n">
        <f aca="false">IF(B25&gt;0, B25*C25, 0)</f>
        <v>0</v>
      </c>
      <c r="E25" s="36" t="n">
        <f aca="false">$F$3</f>
        <v>75</v>
      </c>
      <c r="F25" s="36" t="n">
        <f aca="false">IF(B25&gt;0, B25*E25, 0)</f>
        <v>0</v>
      </c>
    </row>
    <row r="26" customFormat="false" ht="15" hidden="false" customHeight="false" outlineLevel="0" collapsed="false">
      <c r="A26" s="33"/>
      <c r="B26" s="34"/>
      <c r="C26" s="36" t="n">
        <f aca="false">$F$2</f>
        <v>35</v>
      </c>
      <c r="D26" s="36" t="n">
        <f aca="false">IF(B26&gt;0, B26*C26, 0)</f>
        <v>0</v>
      </c>
      <c r="E26" s="36" t="n">
        <f aca="false">$F$3</f>
        <v>75</v>
      </c>
      <c r="F26" s="36" t="n">
        <f aca="false">IF(B26&gt;0, B26*E26, 0)</f>
        <v>0</v>
      </c>
    </row>
    <row r="27" customFormat="false" ht="15" hidden="false" customHeight="false" outlineLevel="0" collapsed="false">
      <c r="A27" s="33"/>
      <c r="B27" s="34"/>
      <c r="C27" s="36" t="n">
        <f aca="false">$F$2</f>
        <v>35</v>
      </c>
      <c r="D27" s="36" t="n">
        <f aca="false">IF(B27&gt;0, B27*C27, 0)</f>
        <v>0</v>
      </c>
      <c r="E27" s="36" t="n">
        <f aca="false">$F$3</f>
        <v>75</v>
      </c>
      <c r="F27" s="36" t="n">
        <f aca="false">IF(B27&gt;0, B27*E27, 0)</f>
        <v>0</v>
      </c>
    </row>
    <row r="28" customFormat="false" ht="15" hidden="false" customHeight="false" outlineLevel="0" collapsed="false">
      <c r="A28" s="33"/>
      <c r="B28" s="34"/>
      <c r="C28" s="36" t="n">
        <f aca="false">$F$2</f>
        <v>35</v>
      </c>
      <c r="D28" s="36" t="n">
        <f aca="false">IF(B28&gt;0, B28*C28, 0)</f>
        <v>0</v>
      </c>
      <c r="E28" s="36" t="n">
        <f aca="false">$F$3</f>
        <v>75</v>
      </c>
      <c r="F28" s="36" t="n">
        <f aca="false">IF(B28&gt;0, B28*E28, 0)</f>
        <v>0</v>
      </c>
    </row>
    <row r="29" customFormat="false" ht="15" hidden="false" customHeight="false" outlineLevel="0" collapsed="false">
      <c r="A29" s="51"/>
      <c r="B29" s="39"/>
      <c r="C29" s="8" t="n">
        <f aca="false">$F$2</f>
        <v>35</v>
      </c>
      <c r="D29" s="8" t="n">
        <f aca="false">IF(B29&gt;0, B29*C29, 0)</f>
        <v>0</v>
      </c>
      <c r="E29" s="8" t="n">
        <f aca="false">$F$3</f>
        <v>75</v>
      </c>
      <c r="F29" s="8" t="n">
        <f aca="false">IF(B29&gt;0, B29*E29, 0)</f>
        <v>0</v>
      </c>
    </row>
    <row r="30" customFormat="false" ht="15" hidden="false" customHeight="false" outlineLevel="0" collapsed="false">
      <c r="A30" s="52" t="s">
        <v>51</v>
      </c>
      <c r="B30" s="53"/>
      <c r="C30" s="54" t="n">
        <v>73</v>
      </c>
      <c r="D30" s="54" t="n">
        <f aca="false">IF(B30&gt;0, B30*C30, 0)</f>
        <v>0</v>
      </c>
      <c r="E30" s="54" t="n">
        <v>120</v>
      </c>
      <c r="F30" s="54" t="n">
        <f aca="false">IF(B30&gt;0, B30*E30, 0)</f>
        <v>0</v>
      </c>
    </row>
    <row r="31" customFormat="false" ht="15" hidden="false" customHeight="false" outlineLevel="0" collapsed="false">
      <c r="A31" s="55"/>
      <c r="B31" s="53"/>
      <c r="C31" s="54" t="n">
        <f aca="false">$C$30</f>
        <v>73</v>
      </c>
      <c r="D31" s="54" t="n">
        <f aca="false">IF(B31&gt;0, B31*C31, 0)</f>
        <v>0</v>
      </c>
      <c r="E31" s="54" t="n">
        <f aca="false">$E$30</f>
        <v>120</v>
      </c>
      <c r="F31" s="54" t="n">
        <f aca="false">IF(B31&gt;0, B31*E31, 0)</f>
        <v>0</v>
      </c>
    </row>
    <row r="32" customFormat="false" ht="15" hidden="false" customHeight="false" outlineLevel="0" collapsed="false">
      <c r="A32" s="55"/>
      <c r="B32" s="53"/>
      <c r="C32" s="54" t="n">
        <f aca="false">$C$30</f>
        <v>73</v>
      </c>
      <c r="D32" s="54" t="n">
        <f aca="false">IF(B32&gt;0, B32*C32, 0)</f>
        <v>0</v>
      </c>
      <c r="E32" s="54" t="n">
        <f aca="false">$E$30</f>
        <v>120</v>
      </c>
      <c r="F32" s="54" t="n">
        <f aca="false">IF(B32&gt;0, B32*E32, 0)</f>
        <v>0</v>
      </c>
    </row>
    <row r="33" customFormat="false" ht="15" hidden="false" customHeight="false" outlineLevel="0" collapsed="false">
      <c r="A33" s="55"/>
      <c r="B33" s="53"/>
      <c r="C33" s="54" t="n">
        <f aca="false">$C$30</f>
        <v>73</v>
      </c>
      <c r="D33" s="54" t="n">
        <f aca="false">IF(B33&gt;0, B33*C33, 0)</f>
        <v>0</v>
      </c>
      <c r="E33" s="54" t="n">
        <f aca="false">$E$30</f>
        <v>120</v>
      </c>
      <c r="F33" s="54" t="n">
        <f aca="false">IF(B33&gt;0, B33*E33, 0)</f>
        <v>0</v>
      </c>
    </row>
    <row r="34" customFormat="false" ht="15" hidden="false" customHeight="false" outlineLevel="0" collapsed="false">
      <c r="A34" s="55"/>
      <c r="B34" s="53"/>
      <c r="C34" s="54" t="n">
        <f aca="false">$C$30</f>
        <v>73</v>
      </c>
      <c r="D34" s="54" t="n">
        <f aca="false">IF(B34&gt;0, B34*C34, 0)</f>
        <v>0</v>
      </c>
      <c r="E34" s="54" t="n">
        <f aca="false">$E$30</f>
        <v>120</v>
      </c>
      <c r="F34" s="54" t="n">
        <f aca="false">IF(B34&gt;0, B34*E34, 0)</f>
        <v>0</v>
      </c>
    </row>
    <row r="35" customFormat="false" ht="15" hidden="false" customHeight="false" outlineLevel="0" collapsed="false">
      <c r="A35" s="55"/>
      <c r="B35" s="53"/>
      <c r="C35" s="54" t="n">
        <f aca="false">$C$30</f>
        <v>73</v>
      </c>
      <c r="D35" s="54" t="n">
        <f aca="false">IF(B35&gt;0, B35*C35, 0)</f>
        <v>0</v>
      </c>
      <c r="E35" s="54" t="n">
        <f aca="false">$E$30</f>
        <v>120</v>
      </c>
      <c r="F35" s="54" t="n">
        <f aca="false">IF(B35&gt;0, B35*E35, 0)</f>
        <v>0</v>
      </c>
    </row>
    <row r="36" customFormat="false" ht="15" hidden="false" customHeight="false" outlineLevel="0" collapsed="false">
      <c r="A36" s="55"/>
      <c r="B36" s="53"/>
      <c r="C36" s="54" t="n">
        <f aca="false">$C$30</f>
        <v>73</v>
      </c>
      <c r="D36" s="54" t="n">
        <f aca="false">IF(B36&gt;0, B36*C36, 0)</f>
        <v>0</v>
      </c>
      <c r="E36" s="54" t="n">
        <f aca="false">$E$30</f>
        <v>120</v>
      </c>
      <c r="F36" s="54" t="n">
        <f aca="false">IF(B36&gt;0, B36*E36, 0)</f>
        <v>0</v>
      </c>
    </row>
    <row r="37" customFormat="false" ht="15" hidden="false" customHeight="false" outlineLevel="0" collapsed="false">
      <c r="A37" s="44" t="s">
        <v>52</v>
      </c>
      <c r="B37" s="44" t="n">
        <f aca="false">SUM(B5:B36)</f>
        <v>0</v>
      </c>
      <c r="C37" s="45"/>
      <c r="D37" s="46" t="n">
        <f aca="false">SUM(D5:D36)</f>
        <v>0</v>
      </c>
      <c r="E37" s="45"/>
      <c r="F37" s="46" t="n">
        <f aca="false">SUM(F5:F36)</f>
        <v>0</v>
      </c>
    </row>
  </sheetData>
  <sheetProtection sheet="true" password="aa8c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3" activeCellId="0" sqref="A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02"/>
    <col collapsed="false" customWidth="true" hidden="false" outlineLevel="0" max="3" min="3" style="1" width="18.93"/>
    <col collapsed="false" customWidth="true" hidden="false" outlineLevel="0" max="4" min="4" style="1" width="19.11"/>
    <col collapsed="false" customWidth="true" hidden="false" outlineLevel="0" max="5" min="5" style="1" width="12.55"/>
    <col collapsed="false" customWidth="true" hidden="false" outlineLevel="0" max="6" min="6" style="1" width="18.11"/>
  </cols>
  <sheetData>
    <row r="1" customFormat="false" ht="13.8" hidden="false" customHeight="false" outlineLevel="0" collapsed="false">
      <c r="A1" s="1" t="s">
        <v>53</v>
      </c>
      <c r="B1" s="1" t="s">
        <v>27</v>
      </c>
      <c r="C1" s="1" t="s">
        <v>54</v>
      </c>
      <c r="D1" s="1" t="s">
        <v>55</v>
      </c>
      <c r="E1" s="1" t="s">
        <v>56</v>
      </c>
      <c r="F1" s="1" t="s">
        <v>57</v>
      </c>
      <c r="G1" s="56" t="s">
        <v>58</v>
      </c>
    </row>
    <row r="2" customFormat="false" ht="13.8" hidden="false" customHeight="false" outlineLevel="0" collapsed="false">
      <c r="A2" s="48"/>
      <c r="B2" s="48"/>
      <c r="C2" s="48"/>
      <c r="D2" s="1" t="n">
        <f aca="false">IF(B2&gt;0, B2*C2, 0)</f>
        <v>0</v>
      </c>
      <c r="E2" s="57" t="n">
        <v>0.4286</v>
      </c>
      <c r="F2" s="1" t="n">
        <f aca="false">IF(D2&gt;0, D2*(1+E2), 0)</f>
        <v>0</v>
      </c>
      <c r="G2" s="1" t="n">
        <f aca="false">F2-D2</f>
        <v>0</v>
      </c>
    </row>
    <row r="3" customFormat="false" ht="13.8" hidden="false" customHeight="false" outlineLevel="0" collapsed="false">
      <c r="A3" s="48"/>
      <c r="B3" s="48"/>
      <c r="C3" s="48"/>
      <c r="D3" s="1" t="n">
        <f aca="false">IF(B3&gt;0, B3*C3, 0)</f>
        <v>0</v>
      </c>
      <c r="E3" s="57" t="n">
        <v>0.4286</v>
      </c>
      <c r="F3" s="1" t="n">
        <f aca="false">IF(D3&gt;0, D3*(1+E3), 0)</f>
        <v>0</v>
      </c>
      <c r="G3" s="1" t="n">
        <f aca="false">F3-D3</f>
        <v>0</v>
      </c>
    </row>
    <row r="4" customFormat="false" ht="13.8" hidden="false" customHeight="false" outlineLevel="0" collapsed="false">
      <c r="A4" s="48"/>
      <c r="B4" s="48"/>
      <c r="C4" s="48"/>
      <c r="D4" s="1" t="n">
        <f aca="false">IF(B4&gt;0, B4*C4, 0)</f>
        <v>0</v>
      </c>
      <c r="E4" s="57" t="n">
        <v>0.4286</v>
      </c>
      <c r="F4" s="1" t="n">
        <f aca="false">IF(D4&gt;0, D4*(1+E4), 0)</f>
        <v>0</v>
      </c>
      <c r="G4" s="1" t="n">
        <f aca="false">F4-D4</f>
        <v>0</v>
      </c>
    </row>
    <row r="5" customFormat="false" ht="13.8" hidden="false" customHeight="false" outlineLevel="0" collapsed="false">
      <c r="A5" s="48"/>
      <c r="B5" s="48"/>
      <c r="C5" s="48"/>
      <c r="D5" s="1" t="n">
        <f aca="false">IF(B5&gt;0, B5*C5, 0)</f>
        <v>0</v>
      </c>
      <c r="E5" s="57" t="n">
        <v>0.4286</v>
      </c>
      <c r="F5" s="1" t="n">
        <f aca="false">IF(D5&gt;0, D5*(1+E5), 0)</f>
        <v>0</v>
      </c>
      <c r="G5" s="1" t="n">
        <f aca="false">F5-D5</f>
        <v>0</v>
      </c>
    </row>
    <row r="6" customFormat="false" ht="13.8" hidden="false" customHeight="false" outlineLevel="0" collapsed="false">
      <c r="A6" s="48"/>
      <c r="B6" s="48"/>
      <c r="C6" s="48"/>
      <c r="D6" s="1" t="n">
        <f aca="false">IF(B6&gt;0, B6*C6, 0)</f>
        <v>0</v>
      </c>
      <c r="E6" s="57" t="n">
        <v>0.4286</v>
      </c>
      <c r="F6" s="1" t="n">
        <f aca="false">IF(D6&gt;0, D6*(1+E6), 0)</f>
        <v>0</v>
      </c>
      <c r="G6" s="1" t="n">
        <f aca="false">F6-D6</f>
        <v>0</v>
      </c>
    </row>
    <row r="7" customFormat="false" ht="13.8" hidden="false" customHeight="false" outlineLevel="0" collapsed="false">
      <c r="A7" s="48"/>
      <c r="B7" s="48"/>
      <c r="C7" s="48"/>
      <c r="D7" s="1" t="n">
        <f aca="false">IF(B7&gt;0, B7*C7, 0)</f>
        <v>0</v>
      </c>
      <c r="E7" s="57" t="n">
        <v>0.4286</v>
      </c>
      <c r="F7" s="1" t="n">
        <f aca="false">IF(D7&gt;0, D7*(1+E7), 0)</f>
        <v>0</v>
      </c>
      <c r="G7" s="1" t="n">
        <f aca="false">F7-D7</f>
        <v>0</v>
      </c>
    </row>
    <row r="8" customFormat="false" ht="13.8" hidden="false" customHeight="false" outlineLevel="0" collapsed="false">
      <c r="A8" s="48"/>
      <c r="B8" s="48"/>
      <c r="C8" s="48"/>
      <c r="D8" s="1" t="n">
        <f aca="false">IF(B8&gt;0, B8*C8, 0)</f>
        <v>0</v>
      </c>
      <c r="E8" s="57" t="n">
        <v>0.4286</v>
      </c>
      <c r="F8" s="1" t="n">
        <f aca="false">IF(D8&gt;0, D8*(1+E8), 0)</f>
        <v>0</v>
      </c>
      <c r="G8" s="1" t="n">
        <f aca="false">F8-D8</f>
        <v>0</v>
      </c>
    </row>
    <row r="9" customFormat="false" ht="13.8" hidden="false" customHeight="false" outlineLevel="0" collapsed="false">
      <c r="A9" s="48"/>
      <c r="B9" s="48"/>
      <c r="C9" s="48"/>
      <c r="D9" s="1" t="n">
        <f aca="false">IF(B9&gt;0, B9*C9, 0)</f>
        <v>0</v>
      </c>
      <c r="E9" s="57" t="n">
        <v>0.4286</v>
      </c>
      <c r="F9" s="1" t="n">
        <f aca="false">IF(D9&gt;0, D9*(1+E9), 0)</f>
        <v>0</v>
      </c>
      <c r="G9" s="1" t="n">
        <f aca="false">F9-D9</f>
        <v>0</v>
      </c>
    </row>
    <row r="10" customFormat="false" ht="13.8" hidden="false" customHeight="false" outlineLevel="0" collapsed="false">
      <c r="A10" s="48"/>
      <c r="B10" s="48"/>
      <c r="C10" s="48"/>
      <c r="D10" s="1" t="n">
        <f aca="false">IF(B10&gt;0, B10*C10, 0)</f>
        <v>0</v>
      </c>
      <c r="E10" s="57" t="n">
        <v>0.4286</v>
      </c>
      <c r="F10" s="1" t="n">
        <f aca="false">IF(D10&gt;0, D10*(1+E10), 0)</f>
        <v>0</v>
      </c>
      <c r="G10" s="1" t="n">
        <f aca="false">F10-D10</f>
        <v>0</v>
      </c>
    </row>
    <row r="11" customFormat="false" ht="13.8" hidden="false" customHeight="false" outlineLevel="0" collapsed="false">
      <c r="A11" s="48"/>
      <c r="B11" s="48"/>
      <c r="C11" s="48"/>
      <c r="D11" s="1" t="n">
        <f aca="false">IF(B11&gt;0, B11*C11, 0)</f>
        <v>0</v>
      </c>
      <c r="E11" s="57" t="n">
        <v>0.4286</v>
      </c>
      <c r="F11" s="1" t="n">
        <f aca="false">IF(D11&gt;0, D11*(1+E11), 0)</f>
        <v>0</v>
      </c>
      <c r="G11" s="1" t="n">
        <f aca="false">F11-D11</f>
        <v>0</v>
      </c>
    </row>
    <row r="12" customFormat="false" ht="13.8" hidden="false" customHeight="false" outlineLevel="0" collapsed="false">
      <c r="A12" s="48"/>
      <c r="B12" s="48"/>
      <c r="C12" s="48"/>
      <c r="D12" s="1" t="n">
        <f aca="false">IF(B12&gt;0, B12*C12, 0)</f>
        <v>0</v>
      </c>
      <c r="E12" s="57" t="n">
        <v>0.4286</v>
      </c>
      <c r="F12" s="1" t="n">
        <f aca="false">IF(D12&gt;0, D12*(1+E12), 0)</f>
        <v>0</v>
      </c>
      <c r="G12" s="1" t="n">
        <f aca="false">F12-D12</f>
        <v>0</v>
      </c>
    </row>
    <row r="13" customFormat="false" ht="13.8" hidden="false" customHeight="false" outlineLevel="0" collapsed="false">
      <c r="A13" s="48"/>
      <c r="B13" s="48"/>
      <c r="C13" s="48"/>
      <c r="D13" s="1" t="n">
        <f aca="false">IF(B13&gt;0, B13*C13, 0)</f>
        <v>0</v>
      </c>
      <c r="E13" s="57" t="n">
        <v>0.4286</v>
      </c>
      <c r="F13" s="1" t="n">
        <f aca="false">IF(D13&gt;0, D13*(1+E13), 0)</f>
        <v>0</v>
      </c>
      <c r="G13" s="1" t="n">
        <f aca="false">F13-D13</f>
        <v>0</v>
      </c>
    </row>
    <row r="14" customFormat="false" ht="13.8" hidden="false" customHeight="false" outlineLevel="0" collapsed="false">
      <c r="A14" s="48"/>
      <c r="B14" s="48"/>
      <c r="C14" s="48"/>
      <c r="D14" s="1" t="n">
        <f aca="false">IF(B14&gt;0, B14*C14, 0)</f>
        <v>0</v>
      </c>
      <c r="E14" s="57" t="n">
        <v>0.4286</v>
      </c>
      <c r="F14" s="1" t="n">
        <f aca="false">IF(D14&gt;0, D14*(1+E14), 0)</f>
        <v>0</v>
      </c>
      <c r="G14" s="1" t="n">
        <f aca="false">F14-D14</f>
        <v>0</v>
      </c>
    </row>
    <row r="15" customFormat="false" ht="13.8" hidden="false" customHeight="false" outlineLevel="0" collapsed="false">
      <c r="A15" s="48"/>
      <c r="B15" s="48"/>
      <c r="C15" s="48"/>
      <c r="D15" s="1" t="n">
        <f aca="false">IF(B15&gt;0, B15*C15, 0)</f>
        <v>0</v>
      </c>
      <c r="E15" s="57" t="n">
        <v>0.4286</v>
      </c>
      <c r="F15" s="1" t="n">
        <f aca="false">IF(D15&gt;0, D15*(1+E15), 0)</f>
        <v>0</v>
      </c>
      <c r="G15" s="1" t="n">
        <f aca="false">F15-D15</f>
        <v>0</v>
      </c>
    </row>
    <row r="16" customFormat="false" ht="13.8" hidden="false" customHeight="false" outlineLevel="0" collapsed="false">
      <c r="A16" s="48"/>
      <c r="B16" s="48"/>
      <c r="C16" s="48"/>
      <c r="D16" s="1" t="n">
        <f aca="false">IF(B16&gt;0, B16*C16, 0)</f>
        <v>0</v>
      </c>
      <c r="E16" s="57" t="n">
        <v>0.4286</v>
      </c>
      <c r="F16" s="1" t="n">
        <f aca="false">IF(D16&gt;0, D16*(1+E16), 0)</f>
        <v>0</v>
      </c>
      <c r="G16" s="1" t="n">
        <f aca="false">F16-D16</f>
        <v>0</v>
      </c>
    </row>
    <row r="17" customFormat="false" ht="13.8" hidden="false" customHeight="false" outlineLevel="0" collapsed="false">
      <c r="A17" s="48"/>
      <c r="B17" s="48"/>
      <c r="C17" s="48"/>
      <c r="D17" s="1" t="n">
        <f aca="false">IF(B17&gt;0, B17*C17, 0)</f>
        <v>0</v>
      </c>
      <c r="E17" s="57" t="n">
        <v>0.4286</v>
      </c>
      <c r="F17" s="1" t="n">
        <f aca="false">IF(D17&gt;0, D17*(1+E17), 0)</f>
        <v>0</v>
      </c>
      <c r="G17" s="1" t="n">
        <f aca="false">F17-D17</f>
        <v>0</v>
      </c>
    </row>
    <row r="18" customFormat="false" ht="13.8" hidden="false" customHeight="false" outlineLevel="0" collapsed="false">
      <c r="A18" s="48"/>
      <c r="B18" s="48"/>
      <c r="C18" s="48"/>
      <c r="D18" s="1" t="n">
        <f aca="false">IF(B18&gt;0, B18*C18, 0)</f>
        <v>0</v>
      </c>
      <c r="E18" s="57" t="n">
        <v>0.4286</v>
      </c>
      <c r="F18" s="1" t="n">
        <f aca="false">IF(D18&gt;0, D18*(1+E18), 0)</f>
        <v>0</v>
      </c>
      <c r="G18" s="1" t="n">
        <f aca="false">F18-D18</f>
        <v>0</v>
      </c>
    </row>
    <row r="19" customFormat="false" ht="13.8" hidden="false" customHeight="false" outlineLevel="0" collapsed="false">
      <c r="A19" s="48"/>
      <c r="B19" s="48"/>
      <c r="C19" s="48"/>
      <c r="D19" s="1" t="n">
        <f aca="false">IF(B19&gt;0, B19*C19, 0)</f>
        <v>0</v>
      </c>
      <c r="E19" s="57" t="n">
        <v>0.4286</v>
      </c>
      <c r="F19" s="1" t="n">
        <f aca="false">IF(D19&gt;0, D19*(1+E19), 0)</f>
        <v>0</v>
      </c>
      <c r="G19" s="1" t="n">
        <f aca="false">F19-D19</f>
        <v>0</v>
      </c>
    </row>
    <row r="20" customFormat="false" ht="13.8" hidden="false" customHeight="false" outlineLevel="0" collapsed="false">
      <c r="A20" s="48"/>
      <c r="B20" s="48"/>
      <c r="C20" s="48"/>
      <c r="D20" s="1" t="n">
        <f aca="false">IF(B20&gt;0, B20*C20, 0)</f>
        <v>0</v>
      </c>
      <c r="E20" s="57" t="n">
        <v>0.4286</v>
      </c>
      <c r="F20" s="1" t="n">
        <f aca="false">IF(D20&gt;0, D20*(1+E20), 0)</f>
        <v>0</v>
      </c>
      <c r="G20" s="1" t="n">
        <f aca="false">F20-D20</f>
        <v>0</v>
      </c>
    </row>
    <row r="21" customFormat="false" ht="13.8" hidden="false" customHeight="false" outlineLevel="0" collapsed="false">
      <c r="A21" s="48"/>
      <c r="B21" s="48"/>
      <c r="C21" s="48"/>
      <c r="D21" s="1" t="n">
        <f aca="false">IF(B21&gt;0, B21*C21, 0)</f>
        <v>0</v>
      </c>
      <c r="E21" s="57" t="n">
        <v>0.4286</v>
      </c>
      <c r="F21" s="1" t="n">
        <f aca="false">IF(D21&gt;0, D21*(1+E21), 0)</f>
        <v>0</v>
      </c>
      <c r="G21" s="1" t="n">
        <f aca="false">F21-D21</f>
        <v>0</v>
      </c>
    </row>
    <row r="22" customFormat="false" ht="13.8" hidden="false" customHeight="false" outlineLevel="0" collapsed="false">
      <c r="A22" s="48"/>
      <c r="B22" s="48"/>
      <c r="C22" s="48"/>
      <c r="D22" s="1" t="n">
        <f aca="false">IF(B22&gt;0, B22*C22, 0)</f>
        <v>0</v>
      </c>
      <c r="E22" s="57" t="n">
        <v>0.4286</v>
      </c>
      <c r="F22" s="1" t="n">
        <f aca="false">IF(D22&gt;0, D22*(1+E22), 0)</f>
        <v>0</v>
      </c>
      <c r="G22" s="1" t="n">
        <f aca="false">F22-D22</f>
        <v>0</v>
      </c>
    </row>
    <row r="23" customFormat="false" ht="13.8" hidden="false" customHeight="false" outlineLevel="0" collapsed="false">
      <c r="A23" s="48"/>
      <c r="B23" s="48"/>
      <c r="C23" s="48"/>
      <c r="D23" s="1" t="n">
        <f aca="false">IF(B23&gt;0, B23*C23, 0)</f>
        <v>0</v>
      </c>
      <c r="E23" s="57" t="n">
        <v>0.4286</v>
      </c>
      <c r="F23" s="1" t="n">
        <f aca="false">IF(D23&gt;0, D23*(1+E23), 0)</f>
        <v>0</v>
      </c>
      <c r="G23" s="1" t="n">
        <f aca="false">F23-D23</f>
        <v>0</v>
      </c>
    </row>
    <row r="24" customFormat="false" ht="13.8" hidden="false" customHeight="false" outlineLevel="0" collapsed="false"/>
    <row r="25" customFormat="false" ht="13.8" hidden="false" customHeight="false" outlineLevel="0" collapsed="false">
      <c r="A25" s="1" t="s">
        <v>59</v>
      </c>
      <c r="D25" s="1" t="n">
        <f aca="false">SUM(D2:D23)</f>
        <v>0</v>
      </c>
      <c r="F25" s="1" t="n">
        <f aca="false">SUM(F2:F23)</f>
        <v>0</v>
      </c>
      <c r="G25" s="1" t="n">
        <f aca="false">SUM(G2:G23)</f>
        <v>0</v>
      </c>
    </row>
  </sheetData>
  <sheetProtection sheet="true" password="aa8c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2026-06-04T00:24:21Z</dcterms:created>
  <dc:creator>openpyxl</dc:creator>
  <dc:description/>
  <dc:language>en-US</dc:language>
  <cp:lastModifiedBy/>
  <dcterms:modified xsi:type="dcterms:W3CDTF">2026-08-11T07:51:37Z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